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julietrajan\Downloads\"/>
    </mc:Choice>
  </mc:AlternateContent>
  <xr:revisionPtr revIDLastSave="0" documentId="13_ncr:1_{A848DACB-250E-4B9F-8465-11531CA6EA92}" xr6:coauthVersionLast="47" xr6:coauthVersionMax="47" xr10:uidLastSave="{00000000-0000-0000-0000-000000000000}"/>
  <bookViews>
    <workbookView xWindow="-110" yWindow="-110" windowWidth="25180" windowHeight="16140" activeTab="1" xr2:uid="{00000000-000D-0000-FFFF-FFFF00000000}"/>
  </bookViews>
  <sheets>
    <sheet name="README_Demo_Guide" sheetId="1" r:id="rId1"/>
    <sheet name="Lookup" sheetId="2" r:id="rId2"/>
    <sheet name="Operations Data" sheetId="3" r:id="rId3"/>
    <sheet name="Quality Risk" sheetId="4" r:id="rId4"/>
    <sheet name="Weekly Trend" sheetId="5" r:id="rId5"/>
    <sheet name="Summary" sheetId="6" r:id="rId6"/>
    <sheet name="Intentional Issues" sheetId="8" r:id="rId7"/>
  </sheet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6" l="1"/>
  <c r="B26" i="6"/>
  <c r="C25" i="6"/>
  <c r="B25" i="6"/>
  <c r="C24" i="6"/>
  <c r="B24" i="6"/>
  <c r="C23" i="6"/>
  <c r="B23" i="6"/>
  <c r="C22" i="6"/>
  <c r="B22" i="6"/>
  <c r="C17" i="6"/>
  <c r="B17" i="6"/>
  <c r="E17" i="6" s="1"/>
  <c r="C16" i="6"/>
  <c r="B16" i="6"/>
  <c r="E16" i="6" s="1"/>
  <c r="C15" i="6"/>
  <c r="B15" i="6"/>
  <c r="E15" i="6" s="1"/>
  <c r="C14" i="6"/>
  <c r="D14" i="6" s="1"/>
  <c r="B14" i="6"/>
  <c r="E14" i="6" s="1"/>
  <c r="C13" i="6"/>
  <c r="B13" i="6"/>
  <c r="E13" i="6" s="1"/>
  <c r="E9" i="6"/>
  <c r="E7" i="6"/>
  <c r="E6" i="6"/>
  <c r="E5" i="6"/>
  <c r="B5" i="6"/>
  <c r="B4" i="6"/>
  <c r="B7" i="6" s="1"/>
  <c r="G41" i="5"/>
  <c r="D41" i="5"/>
  <c r="C41" i="5"/>
  <c r="F41" i="5" s="1"/>
  <c r="B41" i="5"/>
  <c r="G40" i="5"/>
  <c r="D40" i="5"/>
  <c r="C40" i="5"/>
  <c r="F40" i="5" s="1"/>
  <c r="B40" i="5"/>
  <c r="G39" i="5"/>
  <c r="D39" i="5"/>
  <c r="C39" i="5"/>
  <c r="F39" i="5" s="1"/>
  <c r="B39" i="5"/>
  <c r="G38" i="5"/>
  <c r="D38" i="5"/>
  <c r="C38" i="5"/>
  <c r="F38" i="5" s="1"/>
  <c r="B38" i="5"/>
  <c r="G37" i="5"/>
  <c r="D37" i="5"/>
  <c r="C37" i="5"/>
  <c r="F37" i="5" s="1"/>
  <c r="B37" i="5"/>
  <c r="G36" i="5"/>
  <c r="D36" i="5"/>
  <c r="C36" i="5"/>
  <c r="F36" i="5" s="1"/>
  <c r="B36" i="5"/>
  <c r="G35" i="5"/>
  <c r="D35" i="5"/>
  <c r="C35" i="5"/>
  <c r="F35" i="5" s="1"/>
  <c r="B35" i="5"/>
  <c r="G34" i="5"/>
  <c r="D34" i="5"/>
  <c r="C34" i="5"/>
  <c r="F34" i="5" s="1"/>
  <c r="B34" i="5"/>
  <c r="G33" i="5"/>
  <c r="D33" i="5"/>
  <c r="C33" i="5"/>
  <c r="F33" i="5" s="1"/>
  <c r="B33" i="5"/>
  <c r="G32" i="5"/>
  <c r="D32" i="5"/>
  <c r="C32" i="5"/>
  <c r="F32" i="5" s="1"/>
  <c r="B32" i="5"/>
  <c r="G31" i="5"/>
  <c r="D31" i="5"/>
  <c r="C31" i="5"/>
  <c r="F31" i="5" s="1"/>
  <c r="B31" i="5"/>
  <c r="G30" i="5"/>
  <c r="D30" i="5"/>
  <c r="C30" i="5"/>
  <c r="F30" i="5" s="1"/>
  <c r="B30" i="5"/>
  <c r="G29" i="5"/>
  <c r="D29" i="5"/>
  <c r="C29" i="5"/>
  <c r="F29" i="5" s="1"/>
  <c r="B29" i="5"/>
  <c r="G28" i="5"/>
  <c r="D28" i="5"/>
  <c r="C28" i="5"/>
  <c r="F28" i="5" s="1"/>
  <c r="B28" i="5"/>
  <c r="G27" i="5"/>
  <c r="D27" i="5"/>
  <c r="C27" i="5"/>
  <c r="F27" i="5" s="1"/>
  <c r="B27" i="5"/>
  <c r="G26" i="5"/>
  <c r="D26" i="5"/>
  <c r="C26" i="5"/>
  <c r="F26" i="5" s="1"/>
  <c r="B26" i="5"/>
  <c r="G25" i="5"/>
  <c r="D25" i="5"/>
  <c r="C25" i="5"/>
  <c r="F25" i="5" s="1"/>
  <c r="B25" i="5"/>
  <c r="G24" i="5"/>
  <c r="D24" i="5"/>
  <c r="C24" i="5"/>
  <c r="F24" i="5" s="1"/>
  <c r="B24" i="5"/>
  <c r="G23" i="5"/>
  <c r="D23" i="5"/>
  <c r="C23" i="5"/>
  <c r="F23" i="5" s="1"/>
  <c r="B23" i="5"/>
  <c r="G22" i="5"/>
  <c r="D22" i="5"/>
  <c r="C22" i="5"/>
  <c r="F22" i="5" s="1"/>
  <c r="B22" i="5"/>
  <c r="G21" i="5"/>
  <c r="D21" i="5"/>
  <c r="E21" i="5" s="1"/>
  <c r="C21" i="5"/>
  <c r="F21" i="5" s="1"/>
  <c r="B21" i="5"/>
  <c r="G20" i="5"/>
  <c r="D20" i="5"/>
  <c r="C20" i="5"/>
  <c r="F20" i="5" s="1"/>
  <c r="B20" i="5"/>
  <c r="G19" i="5"/>
  <c r="D19" i="5"/>
  <c r="C19" i="5"/>
  <c r="F19" i="5" s="1"/>
  <c r="B19" i="5"/>
  <c r="G18" i="5"/>
  <c r="D18" i="5"/>
  <c r="C18" i="5"/>
  <c r="F18" i="5" s="1"/>
  <c r="B18" i="5"/>
  <c r="G17" i="5"/>
  <c r="D17" i="5"/>
  <c r="C17" i="5"/>
  <c r="F17" i="5" s="1"/>
  <c r="B17" i="5"/>
  <c r="G16" i="5"/>
  <c r="D16" i="5"/>
  <c r="C16" i="5"/>
  <c r="F16" i="5" s="1"/>
  <c r="B16" i="5"/>
  <c r="G15" i="5"/>
  <c r="D15" i="5"/>
  <c r="C15" i="5"/>
  <c r="F15" i="5" s="1"/>
  <c r="B15" i="5"/>
  <c r="G14" i="5"/>
  <c r="D14" i="5"/>
  <c r="C14" i="5"/>
  <c r="F14" i="5" s="1"/>
  <c r="B14" i="5"/>
  <c r="G13" i="5"/>
  <c r="D13" i="5"/>
  <c r="C13" i="5"/>
  <c r="F13" i="5" s="1"/>
  <c r="B13" i="5"/>
  <c r="G12" i="5"/>
  <c r="D12" i="5"/>
  <c r="C12" i="5"/>
  <c r="F12" i="5" s="1"/>
  <c r="B12" i="5"/>
  <c r="G11" i="5"/>
  <c r="D11" i="5"/>
  <c r="C11" i="5"/>
  <c r="F11" i="5" s="1"/>
  <c r="B11" i="5"/>
  <c r="G10" i="5"/>
  <c r="D10" i="5"/>
  <c r="C10" i="5"/>
  <c r="F10" i="5" s="1"/>
  <c r="B10" i="5"/>
  <c r="G9" i="5"/>
  <c r="D9" i="5"/>
  <c r="C9" i="5"/>
  <c r="F9" i="5" s="1"/>
  <c r="B9" i="5"/>
  <c r="G8" i="5"/>
  <c r="D8" i="5"/>
  <c r="C8" i="5"/>
  <c r="F8" i="5" s="1"/>
  <c r="B8" i="5"/>
  <c r="G7" i="5"/>
  <c r="D7" i="5"/>
  <c r="C7" i="5"/>
  <c r="F7" i="5" s="1"/>
  <c r="B7" i="5"/>
  <c r="G6" i="5"/>
  <c r="D6" i="5"/>
  <c r="C6" i="5"/>
  <c r="F6" i="5" s="1"/>
  <c r="B6" i="5"/>
  <c r="G5" i="5"/>
  <c r="D5" i="5"/>
  <c r="C5" i="5"/>
  <c r="F5" i="5" s="1"/>
  <c r="B5" i="5"/>
  <c r="G4" i="5"/>
  <c r="D4" i="5"/>
  <c r="C4" i="5"/>
  <c r="F4" i="5" s="1"/>
  <c r="B4" i="5"/>
  <c r="G3" i="5"/>
  <c r="D3" i="5"/>
  <c r="C3" i="5"/>
  <c r="F3" i="5" s="1"/>
  <c r="B3" i="5"/>
  <c r="G2" i="5"/>
  <c r="D2" i="5"/>
  <c r="C2" i="5"/>
  <c r="F2" i="5" s="1"/>
  <c r="B2" i="5"/>
  <c r="S241" i="4"/>
  <c r="P241" i="4"/>
  <c r="Q241" i="4" s="1"/>
  <c r="R241" i="4" s="1"/>
  <c r="S240" i="4"/>
  <c r="P240" i="4"/>
  <c r="Q240" i="4" s="1"/>
  <c r="R240" i="4" s="1"/>
  <c r="S239" i="4"/>
  <c r="P239" i="4"/>
  <c r="Q239" i="4" s="1"/>
  <c r="R239" i="4" s="1"/>
  <c r="S238" i="4"/>
  <c r="P238" i="4"/>
  <c r="Q238" i="4" s="1"/>
  <c r="R238" i="4" s="1"/>
  <c r="S237" i="4"/>
  <c r="P237" i="4"/>
  <c r="Q237" i="4" s="1"/>
  <c r="R237" i="4" s="1"/>
  <c r="S236" i="4"/>
  <c r="P236" i="4"/>
  <c r="Q236" i="4" s="1"/>
  <c r="R236" i="4" s="1"/>
  <c r="S235" i="4"/>
  <c r="P235" i="4"/>
  <c r="Q235" i="4" s="1"/>
  <c r="R235" i="4" s="1"/>
  <c r="S234" i="4"/>
  <c r="P234" i="4"/>
  <c r="Q234" i="4" s="1"/>
  <c r="R234" i="4" s="1"/>
  <c r="S233" i="4"/>
  <c r="P233" i="4"/>
  <c r="Q233" i="4" s="1"/>
  <c r="R233" i="4" s="1"/>
  <c r="S232" i="4"/>
  <c r="P232" i="4"/>
  <c r="Q232" i="4" s="1"/>
  <c r="R232" i="4" s="1"/>
  <c r="S231" i="4"/>
  <c r="P231" i="4"/>
  <c r="Q231" i="4" s="1"/>
  <c r="R231" i="4" s="1"/>
  <c r="S230" i="4"/>
  <c r="P230" i="4"/>
  <c r="Q230" i="4" s="1"/>
  <c r="R230" i="4" s="1"/>
  <c r="S229" i="4"/>
  <c r="P229" i="4"/>
  <c r="Q229" i="4" s="1"/>
  <c r="R229" i="4" s="1"/>
  <c r="S228" i="4"/>
  <c r="P228" i="4"/>
  <c r="Q228" i="4" s="1"/>
  <c r="R228" i="4" s="1"/>
  <c r="S227" i="4"/>
  <c r="P227" i="4"/>
  <c r="Q227" i="4" s="1"/>
  <c r="R227" i="4" s="1"/>
  <c r="S226" i="4"/>
  <c r="P226" i="4"/>
  <c r="Q226" i="4" s="1"/>
  <c r="R226" i="4" s="1"/>
  <c r="S225" i="4"/>
  <c r="P225" i="4"/>
  <c r="Q225" i="4" s="1"/>
  <c r="R225" i="4" s="1"/>
  <c r="S224" i="4"/>
  <c r="P224" i="4"/>
  <c r="Q224" i="4" s="1"/>
  <c r="R224" i="4" s="1"/>
  <c r="S223" i="4"/>
  <c r="P223" i="4"/>
  <c r="Q223" i="4" s="1"/>
  <c r="R223" i="4" s="1"/>
  <c r="S222" i="4"/>
  <c r="P222" i="4"/>
  <c r="Q222" i="4" s="1"/>
  <c r="R222" i="4" s="1"/>
  <c r="S221" i="4"/>
  <c r="P221" i="4"/>
  <c r="Q221" i="4" s="1"/>
  <c r="R221" i="4" s="1"/>
  <c r="S220" i="4"/>
  <c r="P220" i="4"/>
  <c r="Q220" i="4" s="1"/>
  <c r="R220" i="4" s="1"/>
  <c r="S219" i="4"/>
  <c r="P219" i="4"/>
  <c r="Q219" i="4" s="1"/>
  <c r="R219" i="4" s="1"/>
  <c r="S218" i="4"/>
  <c r="P218" i="4"/>
  <c r="Q218" i="4" s="1"/>
  <c r="R218" i="4" s="1"/>
  <c r="S217" i="4"/>
  <c r="P217" i="4"/>
  <c r="Q217" i="4" s="1"/>
  <c r="R217" i="4" s="1"/>
  <c r="S216" i="4"/>
  <c r="P216" i="4"/>
  <c r="Q216" i="4" s="1"/>
  <c r="R216" i="4" s="1"/>
  <c r="S215" i="4"/>
  <c r="P215" i="4"/>
  <c r="Q215" i="4" s="1"/>
  <c r="R215" i="4" s="1"/>
  <c r="S214" i="4"/>
  <c r="P214" i="4"/>
  <c r="Q214" i="4" s="1"/>
  <c r="R214" i="4" s="1"/>
  <c r="S213" i="4"/>
  <c r="P213" i="4"/>
  <c r="Q213" i="4" s="1"/>
  <c r="R213" i="4" s="1"/>
  <c r="S212" i="4"/>
  <c r="P212" i="4"/>
  <c r="Q212" i="4" s="1"/>
  <c r="R212" i="4" s="1"/>
  <c r="S211" i="4"/>
  <c r="P211" i="4"/>
  <c r="Q211" i="4" s="1"/>
  <c r="R211" i="4" s="1"/>
  <c r="S210" i="4"/>
  <c r="P210" i="4"/>
  <c r="Q210" i="4" s="1"/>
  <c r="R210" i="4" s="1"/>
  <c r="S209" i="4"/>
  <c r="P209" i="4"/>
  <c r="Q209" i="4" s="1"/>
  <c r="R209" i="4" s="1"/>
  <c r="S208" i="4"/>
  <c r="P208" i="4"/>
  <c r="Q208" i="4" s="1"/>
  <c r="R208" i="4" s="1"/>
  <c r="S207" i="4"/>
  <c r="P207" i="4"/>
  <c r="Q207" i="4" s="1"/>
  <c r="R207" i="4" s="1"/>
  <c r="S206" i="4"/>
  <c r="P206" i="4"/>
  <c r="Q206" i="4" s="1"/>
  <c r="R206" i="4" s="1"/>
  <c r="S205" i="4"/>
  <c r="P205" i="4"/>
  <c r="Q205" i="4" s="1"/>
  <c r="R205" i="4" s="1"/>
  <c r="S204" i="4"/>
  <c r="P204" i="4"/>
  <c r="Q204" i="4" s="1"/>
  <c r="R204" i="4" s="1"/>
  <c r="S203" i="4"/>
  <c r="P203" i="4"/>
  <c r="Q203" i="4" s="1"/>
  <c r="R203" i="4" s="1"/>
  <c r="S202" i="4"/>
  <c r="P202" i="4"/>
  <c r="Q202" i="4" s="1"/>
  <c r="R202" i="4" s="1"/>
  <c r="S201" i="4"/>
  <c r="P201" i="4"/>
  <c r="Q201" i="4" s="1"/>
  <c r="R201" i="4" s="1"/>
  <c r="S200" i="4"/>
  <c r="P200" i="4"/>
  <c r="Q200" i="4" s="1"/>
  <c r="R200" i="4" s="1"/>
  <c r="S199" i="4"/>
  <c r="P199" i="4"/>
  <c r="Q199" i="4" s="1"/>
  <c r="R199" i="4" s="1"/>
  <c r="S198" i="4"/>
  <c r="P198" i="4"/>
  <c r="Q198" i="4" s="1"/>
  <c r="R198" i="4" s="1"/>
  <c r="S197" i="4"/>
  <c r="P197" i="4"/>
  <c r="Q197" i="4" s="1"/>
  <c r="R197" i="4" s="1"/>
  <c r="S196" i="4"/>
  <c r="P196" i="4"/>
  <c r="Q196" i="4" s="1"/>
  <c r="R196" i="4" s="1"/>
  <c r="S195" i="4"/>
  <c r="P195" i="4"/>
  <c r="Q195" i="4" s="1"/>
  <c r="R195" i="4" s="1"/>
  <c r="S194" i="4"/>
  <c r="P194" i="4"/>
  <c r="Q194" i="4" s="1"/>
  <c r="R194" i="4" s="1"/>
  <c r="S193" i="4"/>
  <c r="P193" i="4"/>
  <c r="Q193" i="4" s="1"/>
  <c r="R193" i="4" s="1"/>
  <c r="S192" i="4"/>
  <c r="P192" i="4"/>
  <c r="Q192" i="4" s="1"/>
  <c r="R192" i="4" s="1"/>
  <c r="S191" i="4"/>
  <c r="P191" i="4"/>
  <c r="Q191" i="4" s="1"/>
  <c r="R191" i="4" s="1"/>
  <c r="S190" i="4"/>
  <c r="P190" i="4"/>
  <c r="Q190" i="4" s="1"/>
  <c r="R190" i="4" s="1"/>
  <c r="S189" i="4"/>
  <c r="P189" i="4"/>
  <c r="Q189" i="4" s="1"/>
  <c r="R189" i="4" s="1"/>
  <c r="S188" i="4"/>
  <c r="P188" i="4"/>
  <c r="Q188" i="4" s="1"/>
  <c r="R188" i="4" s="1"/>
  <c r="S187" i="4"/>
  <c r="P187" i="4"/>
  <c r="Q187" i="4" s="1"/>
  <c r="R187" i="4" s="1"/>
  <c r="S186" i="4"/>
  <c r="P186" i="4"/>
  <c r="Q186" i="4" s="1"/>
  <c r="R186" i="4" s="1"/>
  <c r="S185" i="4"/>
  <c r="P185" i="4"/>
  <c r="Q185" i="4" s="1"/>
  <c r="R185" i="4" s="1"/>
  <c r="S184" i="4"/>
  <c r="P184" i="4"/>
  <c r="Q184" i="4" s="1"/>
  <c r="R184" i="4" s="1"/>
  <c r="S183" i="4"/>
  <c r="P183" i="4"/>
  <c r="Q183" i="4" s="1"/>
  <c r="R183" i="4" s="1"/>
  <c r="S182" i="4"/>
  <c r="P182" i="4"/>
  <c r="Q182" i="4" s="1"/>
  <c r="R182" i="4" s="1"/>
  <c r="S181" i="4"/>
  <c r="P181" i="4"/>
  <c r="Q181" i="4" s="1"/>
  <c r="R181" i="4" s="1"/>
  <c r="S180" i="4"/>
  <c r="P180" i="4"/>
  <c r="Q180" i="4" s="1"/>
  <c r="R180" i="4" s="1"/>
  <c r="S179" i="4"/>
  <c r="P179" i="4"/>
  <c r="Q179" i="4" s="1"/>
  <c r="R179" i="4" s="1"/>
  <c r="S178" i="4"/>
  <c r="P178" i="4"/>
  <c r="Q178" i="4" s="1"/>
  <c r="R178" i="4" s="1"/>
  <c r="S177" i="4"/>
  <c r="P177" i="4"/>
  <c r="Q177" i="4" s="1"/>
  <c r="R177" i="4" s="1"/>
  <c r="S176" i="4"/>
  <c r="P176" i="4"/>
  <c r="Q176" i="4" s="1"/>
  <c r="R176" i="4" s="1"/>
  <c r="S175" i="4"/>
  <c r="P175" i="4"/>
  <c r="Q175" i="4" s="1"/>
  <c r="R175" i="4" s="1"/>
  <c r="S174" i="4"/>
  <c r="P174" i="4"/>
  <c r="Q174" i="4" s="1"/>
  <c r="R174" i="4" s="1"/>
  <c r="S173" i="4"/>
  <c r="P173" i="4"/>
  <c r="Q173" i="4" s="1"/>
  <c r="R173" i="4" s="1"/>
  <c r="S172" i="4"/>
  <c r="P172" i="4"/>
  <c r="Q172" i="4" s="1"/>
  <c r="R172" i="4" s="1"/>
  <c r="S171" i="4"/>
  <c r="P171" i="4"/>
  <c r="Q171" i="4" s="1"/>
  <c r="R171" i="4" s="1"/>
  <c r="S170" i="4"/>
  <c r="P170" i="4"/>
  <c r="Q170" i="4" s="1"/>
  <c r="R170" i="4" s="1"/>
  <c r="S169" i="4"/>
  <c r="P169" i="4"/>
  <c r="Q169" i="4" s="1"/>
  <c r="R169" i="4" s="1"/>
  <c r="S168" i="4"/>
  <c r="P168" i="4"/>
  <c r="Q168" i="4" s="1"/>
  <c r="R168" i="4" s="1"/>
  <c r="S167" i="4"/>
  <c r="P167" i="4"/>
  <c r="Q167" i="4" s="1"/>
  <c r="R167" i="4" s="1"/>
  <c r="S166" i="4"/>
  <c r="P166" i="4"/>
  <c r="Q166" i="4" s="1"/>
  <c r="R166" i="4" s="1"/>
  <c r="S165" i="4"/>
  <c r="P165" i="4"/>
  <c r="Q165" i="4" s="1"/>
  <c r="R165" i="4" s="1"/>
  <c r="S164" i="4"/>
  <c r="P164" i="4"/>
  <c r="Q164" i="4" s="1"/>
  <c r="R164" i="4" s="1"/>
  <c r="S163" i="4"/>
  <c r="P163" i="4"/>
  <c r="Q163" i="4" s="1"/>
  <c r="R163" i="4" s="1"/>
  <c r="S162" i="4"/>
  <c r="P162" i="4"/>
  <c r="Q162" i="4" s="1"/>
  <c r="R162" i="4" s="1"/>
  <c r="S161" i="4"/>
  <c r="P161" i="4"/>
  <c r="Q161" i="4" s="1"/>
  <c r="R161" i="4" s="1"/>
  <c r="S160" i="4"/>
  <c r="P160" i="4"/>
  <c r="Q160" i="4" s="1"/>
  <c r="R160" i="4" s="1"/>
  <c r="S159" i="4"/>
  <c r="P159" i="4"/>
  <c r="Q159" i="4" s="1"/>
  <c r="R159" i="4" s="1"/>
  <c r="S158" i="4"/>
  <c r="P158" i="4"/>
  <c r="Q158" i="4" s="1"/>
  <c r="R158" i="4" s="1"/>
  <c r="S157" i="4"/>
  <c r="P157" i="4"/>
  <c r="Q157" i="4" s="1"/>
  <c r="R157" i="4" s="1"/>
  <c r="S156" i="4"/>
  <c r="P156" i="4"/>
  <c r="Q156" i="4" s="1"/>
  <c r="R156" i="4" s="1"/>
  <c r="S155" i="4"/>
  <c r="P155" i="4"/>
  <c r="Q155" i="4" s="1"/>
  <c r="R155" i="4" s="1"/>
  <c r="S154" i="4"/>
  <c r="P154" i="4"/>
  <c r="Q154" i="4" s="1"/>
  <c r="R154" i="4" s="1"/>
  <c r="S153" i="4"/>
  <c r="P153" i="4"/>
  <c r="Q153" i="4" s="1"/>
  <c r="R153" i="4" s="1"/>
  <c r="S152" i="4"/>
  <c r="P152" i="4"/>
  <c r="Q152" i="4" s="1"/>
  <c r="R152" i="4" s="1"/>
  <c r="S151" i="4"/>
  <c r="P151" i="4"/>
  <c r="Q151" i="4" s="1"/>
  <c r="R151" i="4" s="1"/>
  <c r="S150" i="4"/>
  <c r="P150" i="4"/>
  <c r="Q150" i="4" s="1"/>
  <c r="R150" i="4" s="1"/>
  <c r="S149" i="4"/>
  <c r="P149" i="4"/>
  <c r="Q149" i="4" s="1"/>
  <c r="R149" i="4" s="1"/>
  <c r="S148" i="4"/>
  <c r="P148" i="4"/>
  <c r="Q148" i="4" s="1"/>
  <c r="R148" i="4" s="1"/>
  <c r="S147" i="4"/>
  <c r="P147" i="4"/>
  <c r="Q147" i="4" s="1"/>
  <c r="R147" i="4" s="1"/>
  <c r="S146" i="4"/>
  <c r="P146" i="4"/>
  <c r="Q146" i="4" s="1"/>
  <c r="R146" i="4" s="1"/>
  <c r="S145" i="4"/>
  <c r="P145" i="4"/>
  <c r="Q145" i="4" s="1"/>
  <c r="R145" i="4" s="1"/>
  <c r="S144" i="4"/>
  <c r="P144" i="4"/>
  <c r="Q144" i="4" s="1"/>
  <c r="R144" i="4" s="1"/>
  <c r="S143" i="4"/>
  <c r="P143" i="4"/>
  <c r="Q143" i="4" s="1"/>
  <c r="R143" i="4" s="1"/>
  <c r="S142" i="4"/>
  <c r="P142" i="4"/>
  <c r="Q142" i="4" s="1"/>
  <c r="R142" i="4" s="1"/>
  <c r="S141" i="4"/>
  <c r="P141" i="4"/>
  <c r="Q141" i="4" s="1"/>
  <c r="R141" i="4" s="1"/>
  <c r="S140" i="4"/>
  <c r="P140" i="4"/>
  <c r="Q140" i="4" s="1"/>
  <c r="R140" i="4" s="1"/>
  <c r="S139" i="4"/>
  <c r="P139" i="4"/>
  <c r="Q139" i="4" s="1"/>
  <c r="R139" i="4" s="1"/>
  <c r="S138" i="4"/>
  <c r="P138" i="4"/>
  <c r="Q138" i="4" s="1"/>
  <c r="R138" i="4" s="1"/>
  <c r="S137" i="4"/>
  <c r="P137" i="4"/>
  <c r="Q137" i="4" s="1"/>
  <c r="R137" i="4" s="1"/>
  <c r="S136" i="4"/>
  <c r="P136" i="4"/>
  <c r="Q136" i="4" s="1"/>
  <c r="R136" i="4" s="1"/>
  <c r="S135" i="4"/>
  <c r="P135" i="4"/>
  <c r="Q135" i="4" s="1"/>
  <c r="R135" i="4" s="1"/>
  <c r="S134" i="4"/>
  <c r="P134" i="4"/>
  <c r="Q134" i="4" s="1"/>
  <c r="R134" i="4" s="1"/>
  <c r="S133" i="4"/>
  <c r="P133" i="4"/>
  <c r="Q133" i="4" s="1"/>
  <c r="R133" i="4" s="1"/>
  <c r="S132" i="4"/>
  <c r="P132" i="4"/>
  <c r="Q132" i="4" s="1"/>
  <c r="R132" i="4" s="1"/>
  <c r="S131" i="4"/>
  <c r="P131" i="4"/>
  <c r="Q131" i="4" s="1"/>
  <c r="R131" i="4" s="1"/>
  <c r="S130" i="4"/>
  <c r="P130" i="4"/>
  <c r="Q130" i="4" s="1"/>
  <c r="R130" i="4" s="1"/>
  <c r="S129" i="4"/>
  <c r="P129" i="4"/>
  <c r="Q129" i="4" s="1"/>
  <c r="R129" i="4" s="1"/>
  <c r="S128" i="4"/>
  <c r="P128" i="4"/>
  <c r="Q128" i="4" s="1"/>
  <c r="R128" i="4" s="1"/>
  <c r="S127" i="4"/>
  <c r="P127" i="4"/>
  <c r="Q127" i="4" s="1"/>
  <c r="R127" i="4" s="1"/>
  <c r="S126" i="4"/>
  <c r="P126" i="4"/>
  <c r="Q126" i="4" s="1"/>
  <c r="R126" i="4" s="1"/>
  <c r="S125" i="4"/>
  <c r="P125" i="4"/>
  <c r="Q125" i="4" s="1"/>
  <c r="R125" i="4" s="1"/>
  <c r="S124" i="4"/>
  <c r="P124" i="4"/>
  <c r="Q124" i="4" s="1"/>
  <c r="R124" i="4" s="1"/>
  <c r="S123" i="4"/>
  <c r="P123" i="4"/>
  <c r="Q123" i="4" s="1"/>
  <c r="R123" i="4" s="1"/>
  <c r="S122" i="4"/>
  <c r="P122" i="4"/>
  <c r="Q122" i="4" s="1"/>
  <c r="R122" i="4" s="1"/>
  <c r="S121" i="4"/>
  <c r="P121" i="4"/>
  <c r="Q121" i="4" s="1"/>
  <c r="R121" i="4" s="1"/>
  <c r="S120" i="4"/>
  <c r="P120" i="4"/>
  <c r="Q120" i="4" s="1"/>
  <c r="R120" i="4" s="1"/>
  <c r="S119" i="4"/>
  <c r="P119" i="4"/>
  <c r="Q119" i="4" s="1"/>
  <c r="R119" i="4" s="1"/>
  <c r="S118" i="4"/>
  <c r="P118" i="4"/>
  <c r="Q118" i="4" s="1"/>
  <c r="R118" i="4" s="1"/>
  <c r="S117" i="4"/>
  <c r="P117" i="4"/>
  <c r="Q117" i="4" s="1"/>
  <c r="R117" i="4" s="1"/>
  <c r="S116" i="4"/>
  <c r="P116" i="4"/>
  <c r="Q116" i="4" s="1"/>
  <c r="R116" i="4" s="1"/>
  <c r="S115" i="4"/>
  <c r="P115" i="4"/>
  <c r="Q115" i="4" s="1"/>
  <c r="R115" i="4" s="1"/>
  <c r="S114" i="4"/>
  <c r="P114" i="4"/>
  <c r="Q114" i="4" s="1"/>
  <c r="R114" i="4" s="1"/>
  <c r="S113" i="4"/>
  <c r="P113" i="4"/>
  <c r="Q113" i="4" s="1"/>
  <c r="R113" i="4" s="1"/>
  <c r="S112" i="4"/>
  <c r="P112" i="4"/>
  <c r="Q112" i="4" s="1"/>
  <c r="R112" i="4" s="1"/>
  <c r="S111" i="4"/>
  <c r="P111" i="4"/>
  <c r="Q111" i="4" s="1"/>
  <c r="R111" i="4" s="1"/>
  <c r="S110" i="4"/>
  <c r="P110" i="4"/>
  <c r="Q110" i="4" s="1"/>
  <c r="R110" i="4" s="1"/>
  <c r="S109" i="4"/>
  <c r="P109" i="4"/>
  <c r="Q109" i="4" s="1"/>
  <c r="R109" i="4" s="1"/>
  <c r="S108" i="4"/>
  <c r="P108" i="4"/>
  <c r="Q108" i="4" s="1"/>
  <c r="R108" i="4" s="1"/>
  <c r="S107" i="4"/>
  <c r="P107" i="4"/>
  <c r="Q107" i="4" s="1"/>
  <c r="R107" i="4" s="1"/>
  <c r="S106" i="4"/>
  <c r="P106" i="4"/>
  <c r="Q106" i="4" s="1"/>
  <c r="R106" i="4" s="1"/>
  <c r="S105" i="4"/>
  <c r="P105" i="4"/>
  <c r="Q105" i="4" s="1"/>
  <c r="R105" i="4" s="1"/>
  <c r="S104" i="4"/>
  <c r="P104" i="4"/>
  <c r="Q104" i="4" s="1"/>
  <c r="R104" i="4" s="1"/>
  <c r="S103" i="4"/>
  <c r="P103" i="4"/>
  <c r="Q103" i="4" s="1"/>
  <c r="R103" i="4" s="1"/>
  <c r="S102" i="4"/>
  <c r="P102" i="4"/>
  <c r="Q102" i="4" s="1"/>
  <c r="R102" i="4" s="1"/>
  <c r="S101" i="4"/>
  <c r="P101" i="4"/>
  <c r="Q101" i="4" s="1"/>
  <c r="R101" i="4" s="1"/>
  <c r="S100" i="4"/>
  <c r="P100" i="4"/>
  <c r="Q100" i="4" s="1"/>
  <c r="R100" i="4" s="1"/>
  <c r="S99" i="4"/>
  <c r="P99" i="4"/>
  <c r="Q99" i="4" s="1"/>
  <c r="R99" i="4" s="1"/>
  <c r="S98" i="4"/>
  <c r="P98" i="4"/>
  <c r="Q98" i="4" s="1"/>
  <c r="R98" i="4" s="1"/>
  <c r="S97" i="4"/>
  <c r="P97" i="4"/>
  <c r="Q97" i="4" s="1"/>
  <c r="R97" i="4" s="1"/>
  <c r="S96" i="4"/>
  <c r="P96" i="4"/>
  <c r="Q96" i="4" s="1"/>
  <c r="R96" i="4" s="1"/>
  <c r="S95" i="4"/>
  <c r="P95" i="4"/>
  <c r="Q95" i="4" s="1"/>
  <c r="R95" i="4" s="1"/>
  <c r="S94" i="4"/>
  <c r="P94" i="4"/>
  <c r="Q94" i="4" s="1"/>
  <c r="R94" i="4" s="1"/>
  <c r="S93" i="4"/>
  <c r="P93" i="4"/>
  <c r="Q93" i="4" s="1"/>
  <c r="R93" i="4" s="1"/>
  <c r="S92" i="4"/>
  <c r="P92" i="4"/>
  <c r="Q92" i="4" s="1"/>
  <c r="R92" i="4" s="1"/>
  <c r="S91" i="4"/>
  <c r="P91" i="4"/>
  <c r="Q91" i="4" s="1"/>
  <c r="R91" i="4" s="1"/>
  <c r="S90" i="4"/>
  <c r="P90" i="4"/>
  <c r="Q90" i="4" s="1"/>
  <c r="R90" i="4" s="1"/>
  <c r="S89" i="4"/>
  <c r="P89" i="4"/>
  <c r="Q89" i="4" s="1"/>
  <c r="R89" i="4" s="1"/>
  <c r="S88" i="4"/>
  <c r="P88" i="4"/>
  <c r="Q88" i="4" s="1"/>
  <c r="R88" i="4" s="1"/>
  <c r="S87" i="4"/>
  <c r="P87" i="4"/>
  <c r="Q87" i="4" s="1"/>
  <c r="R87" i="4" s="1"/>
  <c r="S86" i="4"/>
  <c r="P86" i="4"/>
  <c r="Q86" i="4" s="1"/>
  <c r="R86" i="4" s="1"/>
  <c r="S85" i="4"/>
  <c r="P85" i="4"/>
  <c r="Q85" i="4" s="1"/>
  <c r="R85" i="4" s="1"/>
  <c r="S84" i="4"/>
  <c r="P84" i="4"/>
  <c r="Q84" i="4" s="1"/>
  <c r="R84" i="4" s="1"/>
  <c r="S83" i="4"/>
  <c r="P83" i="4"/>
  <c r="Q83" i="4" s="1"/>
  <c r="R83" i="4" s="1"/>
  <c r="S82" i="4"/>
  <c r="P82" i="4"/>
  <c r="Q82" i="4" s="1"/>
  <c r="R82" i="4" s="1"/>
  <c r="S81" i="4"/>
  <c r="P81" i="4"/>
  <c r="Q81" i="4" s="1"/>
  <c r="R81" i="4" s="1"/>
  <c r="S80" i="4"/>
  <c r="P80" i="4"/>
  <c r="Q80" i="4" s="1"/>
  <c r="R80" i="4" s="1"/>
  <c r="S79" i="4"/>
  <c r="P79" i="4"/>
  <c r="Q79" i="4" s="1"/>
  <c r="R79" i="4" s="1"/>
  <c r="S78" i="4"/>
  <c r="P78" i="4"/>
  <c r="Q78" i="4" s="1"/>
  <c r="R78" i="4" s="1"/>
  <c r="S77" i="4"/>
  <c r="P77" i="4"/>
  <c r="Q77" i="4" s="1"/>
  <c r="R77" i="4" s="1"/>
  <c r="S76" i="4"/>
  <c r="P76" i="4"/>
  <c r="Q76" i="4" s="1"/>
  <c r="R76" i="4" s="1"/>
  <c r="S75" i="4"/>
  <c r="P75" i="4"/>
  <c r="Q75" i="4" s="1"/>
  <c r="R75" i="4" s="1"/>
  <c r="S74" i="4"/>
  <c r="P74" i="4"/>
  <c r="Q74" i="4" s="1"/>
  <c r="R74" i="4" s="1"/>
  <c r="S73" i="4"/>
  <c r="P73" i="4"/>
  <c r="Q73" i="4" s="1"/>
  <c r="R73" i="4" s="1"/>
  <c r="S72" i="4"/>
  <c r="P72" i="4"/>
  <c r="Q72" i="4" s="1"/>
  <c r="R72" i="4" s="1"/>
  <c r="S71" i="4"/>
  <c r="P71" i="4"/>
  <c r="Q71" i="4" s="1"/>
  <c r="R71" i="4" s="1"/>
  <c r="S70" i="4"/>
  <c r="P70" i="4"/>
  <c r="Q70" i="4" s="1"/>
  <c r="R70" i="4" s="1"/>
  <c r="S69" i="4"/>
  <c r="P69" i="4"/>
  <c r="Q69" i="4" s="1"/>
  <c r="R69" i="4" s="1"/>
  <c r="S68" i="4"/>
  <c r="P68" i="4"/>
  <c r="Q68" i="4" s="1"/>
  <c r="R68" i="4" s="1"/>
  <c r="S67" i="4"/>
  <c r="P67" i="4"/>
  <c r="Q67" i="4" s="1"/>
  <c r="R67" i="4" s="1"/>
  <c r="S66" i="4"/>
  <c r="P66" i="4"/>
  <c r="Q66" i="4" s="1"/>
  <c r="R66" i="4" s="1"/>
  <c r="S65" i="4"/>
  <c r="P65" i="4"/>
  <c r="Q65" i="4" s="1"/>
  <c r="R65" i="4" s="1"/>
  <c r="S64" i="4"/>
  <c r="P64" i="4"/>
  <c r="Q64" i="4" s="1"/>
  <c r="R64" i="4" s="1"/>
  <c r="S63" i="4"/>
  <c r="P63" i="4"/>
  <c r="Q63" i="4" s="1"/>
  <c r="R63" i="4" s="1"/>
  <c r="S62" i="4"/>
  <c r="P62" i="4"/>
  <c r="Q62" i="4" s="1"/>
  <c r="R62" i="4" s="1"/>
  <c r="S61" i="4"/>
  <c r="P61" i="4"/>
  <c r="Q61" i="4" s="1"/>
  <c r="R61" i="4" s="1"/>
  <c r="S60" i="4"/>
  <c r="P60" i="4"/>
  <c r="Q60" i="4" s="1"/>
  <c r="R60" i="4" s="1"/>
  <c r="S59" i="4"/>
  <c r="P59" i="4"/>
  <c r="Q59" i="4" s="1"/>
  <c r="R59" i="4" s="1"/>
  <c r="S58" i="4"/>
  <c r="P58" i="4"/>
  <c r="Q58" i="4" s="1"/>
  <c r="R58" i="4" s="1"/>
  <c r="S57" i="4"/>
  <c r="P57" i="4"/>
  <c r="Q57" i="4" s="1"/>
  <c r="R57" i="4" s="1"/>
  <c r="S56" i="4"/>
  <c r="P56" i="4"/>
  <c r="Q56" i="4" s="1"/>
  <c r="R56" i="4" s="1"/>
  <c r="S55" i="4"/>
  <c r="P55" i="4"/>
  <c r="Q55" i="4" s="1"/>
  <c r="R55" i="4" s="1"/>
  <c r="S54" i="4"/>
  <c r="P54" i="4"/>
  <c r="Q54" i="4" s="1"/>
  <c r="R54" i="4" s="1"/>
  <c r="S53" i="4"/>
  <c r="P53" i="4"/>
  <c r="Q53" i="4" s="1"/>
  <c r="R53" i="4" s="1"/>
  <c r="S52" i="4"/>
  <c r="P52" i="4"/>
  <c r="Q52" i="4" s="1"/>
  <c r="R52" i="4" s="1"/>
  <c r="S51" i="4"/>
  <c r="P51" i="4"/>
  <c r="Q51" i="4" s="1"/>
  <c r="R51" i="4" s="1"/>
  <c r="S50" i="4"/>
  <c r="P50" i="4"/>
  <c r="Q50" i="4" s="1"/>
  <c r="R50" i="4" s="1"/>
  <c r="S49" i="4"/>
  <c r="P49" i="4"/>
  <c r="Q49" i="4" s="1"/>
  <c r="R49" i="4" s="1"/>
  <c r="S48" i="4"/>
  <c r="P48" i="4"/>
  <c r="Q48" i="4" s="1"/>
  <c r="R48" i="4" s="1"/>
  <c r="S47" i="4"/>
  <c r="P47" i="4"/>
  <c r="Q47" i="4" s="1"/>
  <c r="R47" i="4" s="1"/>
  <c r="S46" i="4"/>
  <c r="P46" i="4"/>
  <c r="Q46" i="4" s="1"/>
  <c r="R46" i="4" s="1"/>
  <c r="S45" i="4"/>
  <c r="P45" i="4"/>
  <c r="Q45" i="4" s="1"/>
  <c r="R45" i="4" s="1"/>
  <c r="S44" i="4"/>
  <c r="P44" i="4"/>
  <c r="Q44" i="4" s="1"/>
  <c r="R44" i="4" s="1"/>
  <c r="S43" i="4"/>
  <c r="P43" i="4"/>
  <c r="Q43" i="4" s="1"/>
  <c r="R43" i="4" s="1"/>
  <c r="S42" i="4"/>
  <c r="P42" i="4"/>
  <c r="Q42" i="4" s="1"/>
  <c r="R42" i="4" s="1"/>
  <c r="S41" i="4"/>
  <c r="P41" i="4"/>
  <c r="Q41" i="4" s="1"/>
  <c r="R41" i="4" s="1"/>
  <c r="S40" i="4"/>
  <c r="P40" i="4"/>
  <c r="Q40" i="4" s="1"/>
  <c r="R40" i="4" s="1"/>
  <c r="S39" i="4"/>
  <c r="P39" i="4"/>
  <c r="Q39" i="4" s="1"/>
  <c r="R39" i="4" s="1"/>
  <c r="S38" i="4"/>
  <c r="P38" i="4"/>
  <c r="Q38" i="4" s="1"/>
  <c r="R38" i="4" s="1"/>
  <c r="S37" i="4"/>
  <c r="P37" i="4"/>
  <c r="Q37" i="4" s="1"/>
  <c r="R37" i="4" s="1"/>
  <c r="S36" i="4"/>
  <c r="P36" i="4"/>
  <c r="Q36" i="4" s="1"/>
  <c r="R36" i="4" s="1"/>
  <c r="S35" i="4"/>
  <c r="P35" i="4"/>
  <c r="Q35" i="4" s="1"/>
  <c r="R35" i="4" s="1"/>
  <c r="S34" i="4"/>
  <c r="P34" i="4"/>
  <c r="Q34" i="4" s="1"/>
  <c r="R34" i="4" s="1"/>
  <c r="S33" i="4"/>
  <c r="P33" i="4"/>
  <c r="Q33" i="4" s="1"/>
  <c r="R33" i="4" s="1"/>
  <c r="S32" i="4"/>
  <c r="P32" i="4"/>
  <c r="Q32" i="4" s="1"/>
  <c r="R32" i="4" s="1"/>
  <c r="S31" i="4"/>
  <c r="P31" i="4"/>
  <c r="Q31" i="4" s="1"/>
  <c r="R31" i="4" s="1"/>
  <c r="S30" i="4"/>
  <c r="P30" i="4"/>
  <c r="Q30" i="4" s="1"/>
  <c r="R30" i="4" s="1"/>
  <c r="S29" i="4"/>
  <c r="P29" i="4"/>
  <c r="Q29" i="4" s="1"/>
  <c r="R29" i="4" s="1"/>
  <c r="S28" i="4"/>
  <c r="P28" i="4"/>
  <c r="Q28" i="4" s="1"/>
  <c r="R28" i="4" s="1"/>
  <c r="S27" i="4"/>
  <c r="P27" i="4"/>
  <c r="Q27" i="4" s="1"/>
  <c r="R27" i="4" s="1"/>
  <c r="S26" i="4"/>
  <c r="P26" i="4"/>
  <c r="Q26" i="4" s="1"/>
  <c r="R26" i="4" s="1"/>
  <c r="S25" i="4"/>
  <c r="P25" i="4"/>
  <c r="Q25" i="4" s="1"/>
  <c r="R25" i="4" s="1"/>
  <c r="S24" i="4"/>
  <c r="P24" i="4"/>
  <c r="Q24" i="4" s="1"/>
  <c r="R24" i="4" s="1"/>
  <c r="S23" i="4"/>
  <c r="P23" i="4"/>
  <c r="Q23" i="4" s="1"/>
  <c r="R23" i="4" s="1"/>
  <c r="S22" i="4"/>
  <c r="P22" i="4"/>
  <c r="Q22" i="4" s="1"/>
  <c r="R22" i="4" s="1"/>
  <c r="S21" i="4"/>
  <c r="P21" i="4"/>
  <c r="Q21" i="4" s="1"/>
  <c r="R21" i="4" s="1"/>
  <c r="S20" i="4"/>
  <c r="P20" i="4"/>
  <c r="Q20" i="4" s="1"/>
  <c r="R20" i="4" s="1"/>
  <c r="S19" i="4"/>
  <c r="P19" i="4"/>
  <c r="Q19" i="4" s="1"/>
  <c r="R19" i="4" s="1"/>
  <c r="S18" i="4"/>
  <c r="P18" i="4"/>
  <c r="Q18" i="4" s="1"/>
  <c r="R18" i="4" s="1"/>
  <c r="S17" i="4"/>
  <c r="P17" i="4"/>
  <c r="Q17" i="4" s="1"/>
  <c r="R17" i="4" s="1"/>
  <c r="S16" i="4"/>
  <c r="P16" i="4"/>
  <c r="Q16" i="4" s="1"/>
  <c r="R16" i="4" s="1"/>
  <c r="S15" i="4"/>
  <c r="P15" i="4"/>
  <c r="Q15" i="4" s="1"/>
  <c r="R15" i="4" s="1"/>
  <c r="S14" i="4"/>
  <c r="P14" i="4"/>
  <c r="Q14" i="4" s="1"/>
  <c r="R14" i="4" s="1"/>
  <c r="S13" i="4"/>
  <c r="P13" i="4"/>
  <c r="Q13" i="4" s="1"/>
  <c r="R13" i="4" s="1"/>
  <c r="S12" i="4"/>
  <c r="P12" i="4"/>
  <c r="Q12" i="4" s="1"/>
  <c r="R12" i="4" s="1"/>
  <c r="S11" i="4"/>
  <c r="P11" i="4"/>
  <c r="Q11" i="4" s="1"/>
  <c r="R11" i="4" s="1"/>
  <c r="S10" i="4"/>
  <c r="P10" i="4"/>
  <c r="Q10" i="4" s="1"/>
  <c r="R10" i="4" s="1"/>
  <c r="S9" i="4"/>
  <c r="P9" i="4"/>
  <c r="Q9" i="4" s="1"/>
  <c r="R9" i="4" s="1"/>
  <c r="S8" i="4"/>
  <c r="P8" i="4"/>
  <c r="Q8" i="4" s="1"/>
  <c r="R8" i="4" s="1"/>
  <c r="S7" i="4"/>
  <c r="P7" i="4"/>
  <c r="Q7" i="4" s="1"/>
  <c r="R7" i="4" s="1"/>
  <c r="S6" i="4"/>
  <c r="P6" i="4"/>
  <c r="Q6" i="4" s="1"/>
  <c r="R6" i="4" s="1"/>
  <c r="S5" i="4"/>
  <c r="P5" i="4"/>
  <c r="Q5" i="4" s="1"/>
  <c r="R5" i="4" s="1"/>
  <c r="S4" i="4"/>
  <c r="P4" i="4"/>
  <c r="Q4" i="4" s="1"/>
  <c r="R4" i="4" s="1"/>
  <c r="S3" i="4"/>
  <c r="P3" i="4"/>
  <c r="Q3" i="4" s="1"/>
  <c r="R3" i="4" s="1"/>
  <c r="S2" i="4"/>
  <c r="P2" i="4"/>
  <c r="Q2" i="4" s="1"/>
  <c r="AB601" i="3"/>
  <c r="AA601" i="3"/>
  <c r="Z601" i="3"/>
  <c r="Y601" i="3"/>
  <c r="AC601" i="3" s="1"/>
  <c r="AD601" i="3" s="1"/>
  <c r="AE601" i="3" s="1"/>
  <c r="AB600" i="3"/>
  <c r="AA600" i="3"/>
  <c r="Z600" i="3"/>
  <c r="Y600" i="3"/>
  <c r="AC600" i="3" s="1"/>
  <c r="AD600" i="3" s="1"/>
  <c r="AE600" i="3" s="1"/>
  <c r="AB599" i="3"/>
  <c r="AA599" i="3"/>
  <c r="Z599" i="3"/>
  <c r="Y599" i="3"/>
  <c r="AC599" i="3" s="1"/>
  <c r="AD599" i="3" s="1"/>
  <c r="AE599" i="3" s="1"/>
  <c r="AB598" i="3"/>
  <c r="AA598" i="3"/>
  <c r="Z598" i="3"/>
  <c r="Y598" i="3"/>
  <c r="AC598" i="3" s="1"/>
  <c r="AD598" i="3" s="1"/>
  <c r="AE598" i="3" s="1"/>
  <c r="AB597" i="3"/>
  <c r="AA597" i="3"/>
  <c r="Z597" i="3"/>
  <c r="Y597" i="3"/>
  <c r="AC597" i="3" s="1"/>
  <c r="AD597" i="3" s="1"/>
  <c r="AE597" i="3" s="1"/>
  <c r="AB596" i="3"/>
  <c r="AA596" i="3"/>
  <c r="Z596" i="3"/>
  <c r="Y596" i="3"/>
  <c r="AC596" i="3" s="1"/>
  <c r="AD596" i="3" s="1"/>
  <c r="AE596" i="3" s="1"/>
  <c r="AB595" i="3"/>
  <c r="AA595" i="3"/>
  <c r="Z595" i="3"/>
  <c r="Y595" i="3"/>
  <c r="AC595" i="3" s="1"/>
  <c r="AD595" i="3" s="1"/>
  <c r="AE595" i="3" s="1"/>
  <c r="AB594" i="3"/>
  <c r="AA594" i="3"/>
  <c r="Z594" i="3"/>
  <c r="Y594" i="3"/>
  <c r="AC594" i="3" s="1"/>
  <c r="AD594" i="3" s="1"/>
  <c r="AE594" i="3" s="1"/>
  <c r="AB593" i="3"/>
  <c r="AA593" i="3"/>
  <c r="Z593" i="3"/>
  <c r="Y593" i="3"/>
  <c r="AC593" i="3" s="1"/>
  <c r="AD593" i="3" s="1"/>
  <c r="AE593" i="3" s="1"/>
  <c r="AB592" i="3"/>
  <c r="AA592" i="3"/>
  <c r="Z592" i="3"/>
  <c r="Y592" i="3"/>
  <c r="AB591" i="3"/>
  <c r="AA591" i="3"/>
  <c r="Z591" i="3"/>
  <c r="Y591" i="3"/>
  <c r="AC591" i="3" s="1"/>
  <c r="AD591" i="3" s="1"/>
  <c r="AE591" i="3" s="1"/>
  <c r="AB590" i="3"/>
  <c r="AA590" i="3"/>
  <c r="Z590" i="3"/>
  <c r="Y590" i="3"/>
  <c r="AC590" i="3" s="1"/>
  <c r="AD590" i="3" s="1"/>
  <c r="AE590" i="3" s="1"/>
  <c r="AB589" i="3"/>
  <c r="AA589" i="3"/>
  <c r="Z589" i="3"/>
  <c r="Y589" i="3"/>
  <c r="AC589" i="3" s="1"/>
  <c r="AD589" i="3" s="1"/>
  <c r="AE589" i="3" s="1"/>
  <c r="AB588" i="3"/>
  <c r="AA588" i="3"/>
  <c r="Z588" i="3"/>
  <c r="Y588" i="3"/>
  <c r="AC588" i="3" s="1"/>
  <c r="AD588" i="3" s="1"/>
  <c r="AE588" i="3" s="1"/>
  <c r="AB587" i="3"/>
  <c r="AA587" i="3"/>
  <c r="Z587" i="3"/>
  <c r="Y587" i="3"/>
  <c r="AC587" i="3" s="1"/>
  <c r="AD587" i="3" s="1"/>
  <c r="AB586" i="3"/>
  <c r="AA586" i="3"/>
  <c r="Z586" i="3"/>
  <c r="Y586" i="3"/>
  <c r="AC586" i="3" s="1"/>
  <c r="AD586" i="3" s="1"/>
  <c r="AE586" i="3" s="1"/>
  <c r="AB585" i="3"/>
  <c r="AA585" i="3"/>
  <c r="Z585" i="3"/>
  <c r="Y585" i="3"/>
  <c r="AC585" i="3" s="1"/>
  <c r="AD585" i="3" s="1"/>
  <c r="AE585" i="3" s="1"/>
  <c r="AB584" i="3"/>
  <c r="AA584" i="3"/>
  <c r="Z584" i="3"/>
  <c r="Y584" i="3"/>
  <c r="AC584" i="3" s="1"/>
  <c r="AD584" i="3" s="1"/>
  <c r="AE584" i="3" s="1"/>
  <c r="AB583" i="3"/>
  <c r="AA583" i="3"/>
  <c r="Z583" i="3"/>
  <c r="Y583" i="3"/>
  <c r="AC583" i="3" s="1"/>
  <c r="AD583" i="3" s="1"/>
  <c r="AE583" i="3" s="1"/>
  <c r="AB582" i="3"/>
  <c r="AA582" i="3"/>
  <c r="Z582" i="3"/>
  <c r="Y582" i="3"/>
  <c r="AC582" i="3" s="1"/>
  <c r="AD582" i="3" s="1"/>
  <c r="AE582" i="3" s="1"/>
  <c r="AB581" i="3"/>
  <c r="AA581" i="3"/>
  <c r="Z581" i="3"/>
  <c r="Y581" i="3"/>
  <c r="AC581" i="3" s="1"/>
  <c r="AD581" i="3" s="1"/>
  <c r="AE581" i="3" s="1"/>
  <c r="AB580" i="3"/>
  <c r="AA580" i="3"/>
  <c r="Z580" i="3"/>
  <c r="Y580" i="3"/>
  <c r="AC580" i="3" s="1"/>
  <c r="AD580" i="3" s="1"/>
  <c r="AE580" i="3" s="1"/>
  <c r="AB579" i="3"/>
  <c r="AA579" i="3"/>
  <c r="Z579" i="3"/>
  <c r="Y579" i="3"/>
  <c r="AC579" i="3" s="1"/>
  <c r="AD579" i="3" s="1"/>
  <c r="AE579" i="3" s="1"/>
  <c r="AB578" i="3"/>
  <c r="AA578" i="3"/>
  <c r="Z578" i="3"/>
  <c r="Y578" i="3"/>
  <c r="AC578" i="3" s="1"/>
  <c r="AD578" i="3" s="1"/>
  <c r="AE578" i="3" s="1"/>
  <c r="AB577" i="3"/>
  <c r="AA577" i="3"/>
  <c r="Z577" i="3"/>
  <c r="Y577" i="3"/>
  <c r="AC577" i="3" s="1"/>
  <c r="AD577" i="3" s="1"/>
  <c r="AE577" i="3" s="1"/>
  <c r="AB576" i="3"/>
  <c r="AA576" i="3"/>
  <c r="Z576" i="3"/>
  <c r="Y576" i="3"/>
  <c r="AC576" i="3" s="1"/>
  <c r="AD576" i="3" s="1"/>
  <c r="AE576" i="3" s="1"/>
  <c r="AB575" i="3"/>
  <c r="AA575" i="3"/>
  <c r="Z575" i="3"/>
  <c r="Y575" i="3"/>
  <c r="AB574" i="3"/>
  <c r="AA574" i="3"/>
  <c r="Z574" i="3"/>
  <c r="Y574" i="3"/>
  <c r="AC574" i="3" s="1"/>
  <c r="AD574" i="3" s="1"/>
  <c r="AE574" i="3" s="1"/>
  <c r="AB573" i="3"/>
  <c r="AA573" i="3"/>
  <c r="Z573" i="3"/>
  <c r="Y573" i="3"/>
  <c r="AC573" i="3" s="1"/>
  <c r="AD573" i="3" s="1"/>
  <c r="AE573" i="3" s="1"/>
  <c r="AB572" i="3"/>
  <c r="AA572" i="3"/>
  <c r="Z572" i="3"/>
  <c r="Y572" i="3"/>
  <c r="AC572" i="3" s="1"/>
  <c r="AD572" i="3" s="1"/>
  <c r="AB571" i="3"/>
  <c r="AA571" i="3"/>
  <c r="Z571" i="3"/>
  <c r="Y571" i="3"/>
  <c r="AC571" i="3" s="1"/>
  <c r="AD571" i="3" s="1"/>
  <c r="AE571" i="3" s="1"/>
  <c r="AB570" i="3"/>
  <c r="AA570" i="3"/>
  <c r="Z570" i="3"/>
  <c r="Y570" i="3"/>
  <c r="AC570" i="3" s="1"/>
  <c r="AD570" i="3" s="1"/>
  <c r="AE570" i="3" s="1"/>
  <c r="AB569" i="3"/>
  <c r="AA569" i="3"/>
  <c r="Z569" i="3"/>
  <c r="Y569" i="3"/>
  <c r="AC569" i="3" s="1"/>
  <c r="AD569" i="3" s="1"/>
  <c r="AE569" i="3" s="1"/>
  <c r="AB568" i="3"/>
  <c r="AA568" i="3"/>
  <c r="Z568" i="3"/>
  <c r="Y568" i="3"/>
  <c r="AC568" i="3" s="1"/>
  <c r="AD568" i="3" s="1"/>
  <c r="AE568" i="3" s="1"/>
  <c r="AB567" i="3"/>
  <c r="AA567" i="3"/>
  <c r="Z567" i="3"/>
  <c r="Y567" i="3"/>
  <c r="AC567" i="3" s="1"/>
  <c r="AD567" i="3" s="1"/>
  <c r="AE567" i="3" s="1"/>
  <c r="AB566" i="3"/>
  <c r="AA566" i="3"/>
  <c r="Z566" i="3"/>
  <c r="Y566" i="3"/>
  <c r="AC566" i="3" s="1"/>
  <c r="AD566" i="3" s="1"/>
  <c r="AE566" i="3" s="1"/>
  <c r="AB565" i="3"/>
  <c r="AA565" i="3"/>
  <c r="Z565" i="3"/>
  <c r="Y565" i="3"/>
  <c r="AC565" i="3" s="1"/>
  <c r="AD565" i="3" s="1"/>
  <c r="AE565" i="3" s="1"/>
  <c r="AB564" i="3"/>
  <c r="AA564" i="3"/>
  <c r="Z564" i="3"/>
  <c r="Y564" i="3"/>
  <c r="AC564" i="3" s="1"/>
  <c r="AD564" i="3" s="1"/>
  <c r="AE564" i="3" s="1"/>
  <c r="AB563" i="3"/>
  <c r="AA563" i="3"/>
  <c r="Z563" i="3"/>
  <c r="Y563" i="3"/>
  <c r="AC563" i="3" s="1"/>
  <c r="AD563" i="3" s="1"/>
  <c r="AE563" i="3" s="1"/>
  <c r="AB562" i="3"/>
  <c r="AA562" i="3"/>
  <c r="Z562" i="3"/>
  <c r="Y562" i="3"/>
  <c r="AC562" i="3" s="1"/>
  <c r="AD562" i="3" s="1"/>
  <c r="AE562" i="3" s="1"/>
  <c r="AB561" i="3"/>
  <c r="AA561" i="3"/>
  <c r="Z561" i="3"/>
  <c r="Y561" i="3"/>
  <c r="AC561" i="3" s="1"/>
  <c r="AD561" i="3" s="1"/>
  <c r="AE561" i="3" s="1"/>
  <c r="AB560" i="3"/>
  <c r="AA560" i="3"/>
  <c r="Z560" i="3"/>
  <c r="Y560" i="3"/>
  <c r="AC560" i="3" s="1"/>
  <c r="AD560" i="3" s="1"/>
  <c r="AE560" i="3" s="1"/>
  <c r="AB559" i="3"/>
  <c r="AA559" i="3"/>
  <c r="Z559" i="3"/>
  <c r="Y559" i="3"/>
  <c r="AC559" i="3" s="1"/>
  <c r="AD559" i="3" s="1"/>
  <c r="AE559" i="3" s="1"/>
  <c r="AB558" i="3"/>
  <c r="AA558" i="3"/>
  <c r="Z558" i="3"/>
  <c r="Y558" i="3"/>
  <c r="AC558" i="3" s="1"/>
  <c r="AD558" i="3" s="1"/>
  <c r="AE558" i="3" s="1"/>
  <c r="AB557" i="3"/>
  <c r="AA557" i="3"/>
  <c r="Z557" i="3"/>
  <c r="Y557" i="3"/>
  <c r="AC557" i="3" s="1"/>
  <c r="AD557" i="3" s="1"/>
  <c r="AB556" i="3"/>
  <c r="AA556" i="3"/>
  <c r="Z556" i="3"/>
  <c r="Y556" i="3"/>
  <c r="AC556" i="3" s="1"/>
  <c r="AD556" i="3" s="1"/>
  <c r="AE556" i="3" s="1"/>
  <c r="AB555" i="3"/>
  <c r="AA555" i="3"/>
  <c r="Z555" i="3"/>
  <c r="Y555" i="3"/>
  <c r="AC555" i="3" s="1"/>
  <c r="AD555" i="3" s="1"/>
  <c r="AE555" i="3" s="1"/>
  <c r="AB554" i="3"/>
  <c r="AA554" i="3"/>
  <c r="Z554" i="3"/>
  <c r="Y554" i="3"/>
  <c r="AC554" i="3" s="1"/>
  <c r="AD554" i="3" s="1"/>
  <c r="AE554" i="3" s="1"/>
  <c r="AB553" i="3"/>
  <c r="AA553" i="3"/>
  <c r="Z553" i="3"/>
  <c r="Y553" i="3"/>
  <c r="AC553" i="3" s="1"/>
  <c r="AD553" i="3" s="1"/>
  <c r="AE553" i="3" s="1"/>
  <c r="AB552" i="3"/>
  <c r="AA552" i="3"/>
  <c r="Z552" i="3"/>
  <c r="Y552" i="3"/>
  <c r="AC552" i="3" s="1"/>
  <c r="AD552" i="3" s="1"/>
  <c r="AE552" i="3" s="1"/>
  <c r="AB551" i="3"/>
  <c r="AA551" i="3"/>
  <c r="Z551" i="3"/>
  <c r="Y551" i="3"/>
  <c r="AC551" i="3" s="1"/>
  <c r="AD551" i="3" s="1"/>
  <c r="AE551" i="3" s="1"/>
  <c r="AB550" i="3"/>
  <c r="AA550" i="3"/>
  <c r="Z550" i="3"/>
  <c r="Y550" i="3"/>
  <c r="AC550" i="3" s="1"/>
  <c r="AD550" i="3" s="1"/>
  <c r="AE550" i="3" s="1"/>
  <c r="AB549" i="3"/>
  <c r="AA549" i="3"/>
  <c r="Z549" i="3"/>
  <c r="Y549" i="3"/>
  <c r="AC549" i="3" s="1"/>
  <c r="AD549" i="3" s="1"/>
  <c r="AE549" i="3" s="1"/>
  <c r="AB548" i="3"/>
  <c r="AA548" i="3"/>
  <c r="Z548" i="3"/>
  <c r="Y548" i="3"/>
  <c r="AC548" i="3" s="1"/>
  <c r="AD548" i="3" s="1"/>
  <c r="AE548" i="3" s="1"/>
  <c r="AB547" i="3"/>
  <c r="AA547" i="3"/>
  <c r="Z547" i="3"/>
  <c r="Y547" i="3"/>
  <c r="AC547" i="3" s="1"/>
  <c r="AD547" i="3" s="1"/>
  <c r="AE547" i="3" s="1"/>
  <c r="AB546" i="3"/>
  <c r="AA546" i="3"/>
  <c r="Z546" i="3"/>
  <c r="Y546" i="3"/>
  <c r="AC546" i="3" s="1"/>
  <c r="AD546" i="3" s="1"/>
  <c r="AE546" i="3" s="1"/>
  <c r="AB545" i="3"/>
  <c r="AA545" i="3"/>
  <c r="Z545" i="3"/>
  <c r="Y545" i="3"/>
  <c r="AC545" i="3" s="1"/>
  <c r="AD545" i="3" s="1"/>
  <c r="AE545" i="3" s="1"/>
  <c r="AB544" i="3"/>
  <c r="AA544" i="3"/>
  <c r="Z544" i="3"/>
  <c r="Y544" i="3"/>
  <c r="AC544" i="3" s="1"/>
  <c r="AD544" i="3" s="1"/>
  <c r="AE544" i="3" s="1"/>
  <c r="AB543" i="3"/>
  <c r="AA543" i="3"/>
  <c r="Z543" i="3"/>
  <c r="Y543" i="3"/>
  <c r="AC543" i="3" s="1"/>
  <c r="AD543" i="3" s="1"/>
  <c r="AE543" i="3" s="1"/>
  <c r="AB542" i="3"/>
  <c r="AA542" i="3"/>
  <c r="Z542" i="3"/>
  <c r="Y542" i="3"/>
  <c r="AC542" i="3" s="1"/>
  <c r="AD542" i="3" s="1"/>
  <c r="AB541" i="3"/>
  <c r="AA541" i="3"/>
  <c r="Z541" i="3"/>
  <c r="Y541" i="3"/>
  <c r="AC541" i="3" s="1"/>
  <c r="AD541" i="3" s="1"/>
  <c r="AE541" i="3" s="1"/>
  <c r="AB540" i="3"/>
  <c r="AA540" i="3"/>
  <c r="Z540" i="3"/>
  <c r="Y540" i="3"/>
  <c r="AC540" i="3" s="1"/>
  <c r="AD540" i="3" s="1"/>
  <c r="AE540" i="3" s="1"/>
  <c r="AB539" i="3"/>
  <c r="AA539" i="3"/>
  <c r="Z539" i="3"/>
  <c r="Y539" i="3"/>
  <c r="AC539" i="3" s="1"/>
  <c r="AD539" i="3" s="1"/>
  <c r="AE539" i="3" s="1"/>
  <c r="AB538" i="3"/>
  <c r="AA538" i="3"/>
  <c r="Z538" i="3"/>
  <c r="Y538" i="3"/>
  <c r="AC538" i="3" s="1"/>
  <c r="AD538" i="3" s="1"/>
  <c r="AE538" i="3" s="1"/>
  <c r="AB537" i="3"/>
  <c r="AA537" i="3"/>
  <c r="Z537" i="3"/>
  <c r="Y537" i="3"/>
  <c r="AC537" i="3" s="1"/>
  <c r="AD537" i="3" s="1"/>
  <c r="AE537" i="3" s="1"/>
  <c r="AB536" i="3"/>
  <c r="AA536" i="3"/>
  <c r="Z536" i="3"/>
  <c r="Y536" i="3"/>
  <c r="AC536" i="3" s="1"/>
  <c r="AD536" i="3" s="1"/>
  <c r="AE536" i="3" s="1"/>
  <c r="AB535" i="3"/>
  <c r="AA535" i="3"/>
  <c r="Z535" i="3"/>
  <c r="Y535" i="3"/>
  <c r="AC535" i="3" s="1"/>
  <c r="AD535" i="3" s="1"/>
  <c r="AE535" i="3" s="1"/>
  <c r="AB534" i="3"/>
  <c r="AA534" i="3"/>
  <c r="Z534" i="3"/>
  <c r="Y534" i="3"/>
  <c r="AC534" i="3" s="1"/>
  <c r="AD534" i="3" s="1"/>
  <c r="AE534" i="3" s="1"/>
  <c r="AB533" i="3"/>
  <c r="AA533" i="3"/>
  <c r="Z533" i="3"/>
  <c r="Y533" i="3"/>
  <c r="AC533" i="3" s="1"/>
  <c r="AD533" i="3" s="1"/>
  <c r="AE533" i="3" s="1"/>
  <c r="AB532" i="3"/>
  <c r="AA532" i="3"/>
  <c r="Z532" i="3"/>
  <c r="Y532" i="3"/>
  <c r="AC532" i="3" s="1"/>
  <c r="AD532" i="3" s="1"/>
  <c r="AE532" i="3" s="1"/>
  <c r="AB531" i="3"/>
  <c r="AA531" i="3"/>
  <c r="Z531" i="3"/>
  <c r="Y531" i="3"/>
  <c r="AC531" i="3" s="1"/>
  <c r="AD531" i="3" s="1"/>
  <c r="AE531" i="3" s="1"/>
  <c r="AB530" i="3"/>
  <c r="AA530" i="3"/>
  <c r="Z530" i="3"/>
  <c r="Y530" i="3"/>
  <c r="AC530" i="3" s="1"/>
  <c r="AD530" i="3" s="1"/>
  <c r="AE530" i="3" s="1"/>
  <c r="AB529" i="3"/>
  <c r="AA529" i="3"/>
  <c r="Z529" i="3"/>
  <c r="Y529" i="3"/>
  <c r="AC529" i="3" s="1"/>
  <c r="AD529" i="3" s="1"/>
  <c r="AE529" i="3" s="1"/>
  <c r="AB528" i="3"/>
  <c r="AA528" i="3"/>
  <c r="Z528" i="3"/>
  <c r="Y528" i="3"/>
  <c r="AC528" i="3" s="1"/>
  <c r="AD528" i="3" s="1"/>
  <c r="AE528" i="3" s="1"/>
  <c r="AB527" i="3"/>
  <c r="AA527" i="3"/>
  <c r="Z527" i="3"/>
  <c r="Y527" i="3"/>
  <c r="AC527" i="3" s="1"/>
  <c r="AD527" i="3" s="1"/>
  <c r="AB526" i="3"/>
  <c r="AA526" i="3"/>
  <c r="Z526" i="3"/>
  <c r="Y526" i="3"/>
  <c r="AC526" i="3" s="1"/>
  <c r="AD526" i="3" s="1"/>
  <c r="AE526" i="3" s="1"/>
  <c r="AB525" i="3"/>
  <c r="AA525" i="3"/>
  <c r="Z525" i="3"/>
  <c r="Y525" i="3"/>
  <c r="AC525" i="3" s="1"/>
  <c r="AD525" i="3" s="1"/>
  <c r="AE525" i="3" s="1"/>
  <c r="AB524" i="3"/>
  <c r="AA524" i="3"/>
  <c r="Z524" i="3"/>
  <c r="Y524" i="3"/>
  <c r="AC524" i="3" s="1"/>
  <c r="AD524" i="3" s="1"/>
  <c r="AE524" i="3" s="1"/>
  <c r="AB523" i="3"/>
  <c r="AA523" i="3"/>
  <c r="Z523" i="3"/>
  <c r="Y523" i="3"/>
  <c r="AC523" i="3" s="1"/>
  <c r="AD523" i="3" s="1"/>
  <c r="AE523" i="3" s="1"/>
  <c r="AB522" i="3"/>
  <c r="AA522" i="3"/>
  <c r="Z522" i="3"/>
  <c r="Y522" i="3"/>
  <c r="AC522" i="3" s="1"/>
  <c r="AD522" i="3" s="1"/>
  <c r="AE522" i="3" s="1"/>
  <c r="AB521" i="3"/>
  <c r="AA521" i="3"/>
  <c r="Z521" i="3"/>
  <c r="Y521" i="3"/>
  <c r="AC521" i="3" s="1"/>
  <c r="AD521" i="3" s="1"/>
  <c r="AE521" i="3" s="1"/>
  <c r="AB520" i="3"/>
  <c r="AA520" i="3"/>
  <c r="Z520" i="3"/>
  <c r="Y520" i="3"/>
  <c r="AB519" i="3"/>
  <c r="AA519" i="3"/>
  <c r="Z519" i="3"/>
  <c r="Y519" i="3"/>
  <c r="AC519" i="3" s="1"/>
  <c r="AD519" i="3" s="1"/>
  <c r="AE519" i="3" s="1"/>
  <c r="AB518" i="3"/>
  <c r="AA518" i="3"/>
  <c r="Z518" i="3"/>
  <c r="Y518" i="3"/>
  <c r="AC518" i="3" s="1"/>
  <c r="AD518" i="3" s="1"/>
  <c r="AE518" i="3" s="1"/>
  <c r="AB517" i="3"/>
  <c r="AA517" i="3"/>
  <c r="Z517" i="3"/>
  <c r="Y517" i="3"/>
  <c r="AC517" i="3" s="1"/>
  <c r="AD517" i="3" s="1"/>
  <c r="AE517" i="3" s="1"/>
  <c r="AB516" i="3"/>
  <c r="AA516" i="3"/>
  <c r="Z516" i="3"/>
  <c r="Y516" i="3"/>
  <c r="AC516" i="3" s="1"/>
  <c r="AD516" i="3" s="1"/>
  <c r="AE516" i="3" s="1"/>
  <c r="AB515" i="3"/>
  <c r="AA515" i="3"/>
  <c r="Z515" i="3"/>
  <c r="Y515" i="3"/>
  <c r="AC515" i="3" s="1"/>
  <c r="AD515" i="3" s="1"/>
  <c r="AE515" i="3" s="1"/>
  <c r="AB514" i="3"/>
  <c r="AA514" i="3"/>
  <c r="Z514" i="3"/>
  <c r="Y514" i="3"/>
  <c r="AC514" i="3" s="1"/>
  <c r="AD514" i="3" s="1"/>
  <c r="AE514" i="3" s="1"/>
  <c r="AB513" i="3"/>
  <c r="AA513" i="3"/>
  <c r="Z513" i="3"/>
  <c r="Y513" i="3"/>
  <c r="AC513" i="3" s="1"/>
  <c r="AD513" i="3" s="1"/>
  <c r="AE513" i="3" s="1"/>
  <c r="AB512" i="3"/>
  <c r="AA512" i="3"/>
  <c r="Z512" i="3"/>
  <c r="Y512" i="3"/>
  <c r="AC512" i="3" s="1"/>
  <c r="AD512" i="3" s="1"/>
  <c r="AB511" i="3"/>
  <c r="AA511" i="3"/>
  <c r="Z511" i="3"/>
  <c r="Y511" i="3"/>
  <c r="AC511" i="3" s="1"/>
  <c r="AD511" i="3" s="1"/>
  <c r="AE511" i="3" s="1"/>
  <c r="AB510" i="3"/>
  <c r="AA510" i="3"/>
  <c r="Z510" i="3"/>
  <c r="Y510" i="3"/>
  <c r="AC510" i="3" s="1"/>
  <c r="AD510" i="3" s="1"/>
  <c r="AE510" i="3" s="1"/>
  <c r="AB509" i="3"/>
  <c r="AA509" i="3"/>
  <c r="Z509" i="3"/>
  <c r="Y509" i="3"/>
  <c r="AC509" i="3" s="1"/>
  <c r="AD509" i="3" s="1"/>
  <c r="AE509" i="3" s="1"/>
  <c r="AB508" i="3"/>
  <c r="AA508" i="3"/>
  <c r="Z508" i="3"/>
  <c r="Y508" i="3"/>
  <c r="AC508" i="3" s="1"/>
  <c r="AD508" i="3" s="1"/>
  <c r="AE508" i="3" s="1"/>
  <c r="AB507" i="3"/>
  <c r="AA507" i="3"/>
  <c r="Z507" i="3"/>
  <c r="Y507" i="3"/>
  <c r="AC507" i="3" s="1"/>
  <c r="AD507" i="3" s="1"/>
  <c r="AE507" i="3" s="1"/>
  <c r="AB506" i="3"/>
  <c r="AA506" i="3"/>
  <c r="Z506" i="3"/>
  <c r="Y506" i="3"/>
  <c r="AC506" i="3" s="1"/>
  <c r="AD506" i="3" s="1"/>
  <c r="AE506" i="3" s="1"/>
  <c r="AB505" i="3"/>
  <c r="AA505" i="3"/>
  <c r="Z505" i="3"/>
  <c r="Y505" i="3"/>
  <c r="AC505" i="3" s="1"/>
  <c r="AD505" i="3" s="1"/>
  <c r="AE505" i="3" s="1"/>
  <c r="AB504" i="3"/>
  <c r="AA504" i="3"/>
  <c r="Z504" i="3"/>
  <c r="Y504" i="3"/>
  <c r="AC504" i="3" s="1"/>
  <c r="AD504" i="3" s="1"/>
  <c r="AE504" i="3" s="1"/>
  <c r="AB503" i="3"/>
  <c r="AA503" i="3"/>
  <c r="Z503" i="3"/>
  <c r="Y503" i="3"/>
  <c r="AC503" i="3" s="1"/>
  <c r="AD503" i="3" s="1"/>
  <c r="AE503" i="3" s="1"/>
  <c r="AB502" i="3"/>
  <c r="AA502" i="3"/>
  <c r="Z502" i="3"/>
  <c r="Y502" i="3"/>
  <c r="AC502" i="3" s="1"/>
  <c r="AD502" i="3" s="1"/>
  <c r="AE502" i="3" s="1"/>
  <c r="AB501" i="3"/>
  <c r="AA501" i="3"/>
  <c r="Z501" i="3"/>
  <c r="Y501" i="3"/>
  <c r="AC501" i="3" s="1"/>
  <c r="AD501" i="3" s="1"/>
  <c r="AE501" i="3" s="1"/>
  <c r="AB500" i="3"/>
  <c r="AA500" i="3"/>
  <c r="Z500" i="3"/>
  <c r="Y500" i="3"/>
  <c r="AC500" i="3" s="1"/>
  <c r="AD500" i="3" s="1"/>
  <c r="AE500" i="3" s="1"/>
  <c r="AB499" i="3"/>
  <c r="AA499" i="3"/>
  <c r="Z499" i="3"/>
  <c r="Y499" i="3"/>
  <c r="AC499" i="3" s="1"/>
  <c r="AD499" i="3" s="1"/>
  <c r="AE499" i="3" s="1"/>
  <c r="AB498" i="3"/>
  <c r="AA498" i="3"/>
  <c r="Z498" i="3"/>
  <c r="Y498" i="3"/>
  <c r="AC498" i="3" s="1"/>
  <c r="AD498" i="3" s="1"/>
  <c r="AE498" i="3" s="1"/>
  <c r="AB497" i="3"/>
  <c r="AA497" i="3"/>
  <c r="Z497" i="3"/>
  <c r="Y497" i="3"/>
  <c r="AC497" i="3" s="1"/>
  <c r="AD497" i="3" s="1"/>
  <c r="AB496" i="3"/>
  <c r="AA496" i="3"/>
  <c r="Z496" i="3"/>
  <c r="Y496" i="3"/>
  <c r="AC496" i="3" s="1"/>
  <c r="AD496" i="3" s="1"/>
  <c r="AE496" i="3" s="1"/>
  <c r="AB495" i="3"/>
  <c r="AA495" i="3"/>
  <c r="Z495" i="3"/>
  <c r="Y495" i="3"/>
  <c r="AC495" i="3" s="1"/>
  <c r="AD495" i="3" s="1"/>
  <c r="AE495" i="3" s="1"/>
  <c r="AB494" i="3"/>
  <c r="AA494" i="3"/>
  <c r="Z494" i="3"/>
  <c r="Y494" i="3"/>
  <c r="AC494" i="3" s="1"/>
  <c r="AD494" i="3" s="1"/>
  <c r="AE494" i="3" s="1"/>
  <c r="AB493" i="3"/>
  <c r="AA493" i="3"/>
  <c r="Z493" i="3"/>
  <c r="Y493" i="3"/>
  <c r="AC493" i="3" s="1"/>
  <c r="AD493" i="3" s="1"/>
  <c r="AE493" i="3" s="1"/>
  <c r="AB492" i="3"/>
  <c r="AA492" i="3"/>
  <c r="Z492" i="3"/>
  <c r="Y492" i="3"/>
  <c r="AC492" i="3" s="1"/>
  <c r="AD492" i="3" s="1"/>
  <c r="AE492" i="3" s="1"/>
  <c r="AB491" i="3"/>
  <c r="AA491" i="3"/>
  <c r="Z491" i="3"/>
  <c r="Y491" i="3"/>
  <c r="AC491" i="3" s="1"/>
  <c r="AD491" i="3" s="1"/>
  <c r="AE491" i="3" s="1"/>
  <c r="AB490" i="3"/>
  <c r="AA490" i="3"/>
  <c r="Z490" i="3"/>
  <c r="Y490" i="3"/>
  <c r="AC490" i="3" s="1"/>
  <c r="AD490" i="3" s="1"/>
  <c r="AE490" i="3" s="1"/>
  <c r="AB489" i="3"/>
  <c r="AA489" i="3"/>
  <c r="Z489" i="3"/>
  <c r="Y489" i="3"/>
  <c r="AC489" i="3" s="1"/>
  <c r="AD489" i="3" s="1"/>
  <c r="AE489" i="3" s="1"/>
  <c r="AB488" i="3"/>
  <c r="AA488" i="3"/>
  <c r="Z488" i="3"/>
  <c r="Y488" i="3"/>
  <c r="AC488" i="3" s="1"/>
  <c r="AD488" i="3" s="1"/>
  <c r="AE488" i="3" s="1"/>
  <c r="AB487" i="3"/>
  <c r="AA487" i="3"/>
  <c r="Z487" i="3"/>
  <c r="Y487" i="3"/>
  <c r="AC487" i="3" s="1"/>
  <c r="AD487" i="3" s="1"/>
  <c r="AE487" i="3" s="1"/>
  <c r="AB486" i="3"/>
  <c r="AA486" i="3"/>
  <c r="Z486" i="3"/>
  <c r="Y486" i="3"/>
  <c r="AC486" i="3" s="1"/>
  <c r="AD486" i="3" s="1"/>
  <c r="AE486" i="3" s="1"/>
  <c r="AB485" i="3"/>
  <c r="AA485" i="3"/>
  <c r="Z485" i="3"/>
  <c r="Y485" i="3"/>
  <c r="AC485" i="3" s="1"/>
  <c r="AD485" i="3" s="1"/>
  <c r="AE485" i="3" s="1"/>
  <c r="AB484" i="3"/>
  <c r="AA484" i="3"/>
  <c r="Z484" i="3"/>
  <c r="Y484" i="3"/>
  <c r="AC484" i="3" s="1"/>
  <c r="AD484" i="3" s="1"/>
  <c r="AE484" i="3" s="1"/>
  <c r="AB483" i="3"/>
  <c r="AA483" i="3"/>
  <c r="Z483" i="3"/>
  <c r="Y483" i="3"/>
  <c r="AC483" i="3" s="1"/>
  <c r="AD483" i="3" s="1"/>
  <c r="AE483" i="3" s="1"/>
  <c r="AB482" i="3"/>
  <c r="AA482" i="3"/>
  <c r="Z482" i="3"/>
  <c r="Y482" i="3"/>
  <c r="AC482" i="3" s="1"/>
  <c r="AD482" i="3" s="1"/>
  <c r="AB481" i="3"/>
  <c r="AA481" i="3"/>
  <c r="Z481" i="3"/>
  <c r="Y481" i="3"/>
  <c r="AC481" i="3" s="1"/>
  <c r="AD481" i="3" s="1"/>
  <c r="AE481" i="3" s="1"/>
  <c r="AB480" i="3"/>
  <c r="AA480" i="3"/>
  <c r="Z480" i="3"/>
  <c r="Y480" i="3"/>
  <c r="AC480" i="3" s="1"/>
  <c r="AD480" i="3" s="1"/>
  <c r="AE480" i="3" s="1"/>
  <c r="AB479" i="3"/>
  <c r="AA479" i="3"/>
  <c r="Z479" i="3"/>
  <c r="Y479" i="3"/>
  <c r="AC479" i="3" s="1"/>
  <c r="AD479" i="3" s="1"/>
  <c r="AE479" i="3" s="1"/>
  <c r="AB478" i="3"/>
  <c r="AA478" i="3"/>
  <c r="Z478" i="3"/>
  <c r="Y478" i="3"/>
  <c r="AC478" i="3" s="1"/>
  <c r="AD478" i="3" s="1"/>
  <c r="AE478" i="3" s="1"/>
  <c r="AB477" i="3"/>
  <c r="AA477" i="3"/>
  <c r="Z477" i="3"/>
  <c r="Y477" i="3"/>
  <c r="AC477" i="3" s="1"/>
  <c r="AD477" i="3" s="1"/>
  <c r="AE477" i="3" s="1"/>
  <c r="AB476" i="3"/>
  <c r="AA476" i="3"/>
  <c r="Z476" i="3"/>
  <c r="Y476" i="3"/>
  <c r="AC476" i="3" s="1"/>
  <c r="AD476" i="3" s="1"/>
  <c r="AE476" i="3" s="1"/>
  <c r="AB475" i="3"/>
  <c r="AA475" i="3"/>
  <c r="Z475" i="3"/>
  <c r="Y475" i="3"/>
  <c r="AC475" i="3" s="1"/>
  <c r="AD475" i="3" s="1"/>
  <c r="AE475" i="3" s="1"/>
  <c r="AB474" i="3"/>
  <c r="AA474" i="3"/>
  <c r="Z474" i="3"/>
  <c r="Y474" i="3"/>
  <c r="AC474" i="3" s="1"/>
  <c r="AD474" i="3" s="1"/>
  <c r="AE474" i="3" s="1"/>
  <c r="AB473" i="3"/>
  <c r="AA473" i="3"/>
  <c r="Z473" i="3"/>
  <c r="Y473" i="3"/>
  <c r="AC473" i="3" s="1"/>
  <c r="AD473" i="3" s="1"/>
  <c r="AE473" i="3" s="1"/>
  <c r="AB472" i="3"/>
  <c r="AA472" i="3"/>
  <c r="Z472" i="3"/>
  <c r="Y472" i="3"/>
  <c r="AC472" i="3" s="1"/>
  <c r="AD472" i="3" s="1"/>
  <c r="AE472" i="3" s="1"/>
  <c r="AB471" i="3"/>
  <c r="AA471" i="3"/>
  <c r="Z471" i="3"/>
  <c r="Y471" i="3"/>
  <c r="AC471" i="3" s="1"/>
  <c r="AD471" i="3" s="1"/>
  <c r="AE471" i="3" s="1"/>
  <c r="AB470" i="3"/>
  <c r="AA470" i="3"/>
  <c r="Z470" i="3"/>
  <c r="Y470" i="3"/>
  <c r="AC470" i="3" s="1"/>
  <c r="AD470" i="3" s="1"/>
  <c r="AE470" i="3" s="1"/>
  <c r="AB469" i="3"/>
  <c r="AA469" i="3"/>
  <c r="Z469" i="3"/>
  <c r="Y469" i="3"/>
  <c r="AC469" i="3" s="1"/>
  <c r="AD469" i="3" s="1"/>
  <c r="AE469" i="3" s="1"/>
  <c r="AB468" i="3"/>
  <c r="AA468" i="3"/>
  <c r="Z468" i="3"/>
  <c r="Y468" i="3"/>
  <c r="AC468" i="3" s="1"/>
  <c r="AD468" i="3" s="1"/>
  <c r="AE468" i="3" s="1"/>
  <c r="AB467" i="3"/>
  <c r="AA467" i="3"/>
  <c r="Z467" i="3"/>
  <c r="Y467" i="3"/>
  <c r="AC467" i="3" s="1"/>
  <c r="AD467" i="3" s="1"/>
  <c r="AB466" i="3"/>
  <c r="AA466" i="3"/>
  <c r="Z466" i="3"/>
  <c r="Y466" i="3"/>
  <c r="AC466" i="3" s="1"/>
  <c r="AD466" i="3" s="1"/>
  <c r="AE466" i="3" s="1"/>
  <c r="AB465" i="3"/>
  <c r="AA465" i="3"/>
  <c r="Z465" i="3"/>
  <c r="Y465" i="3"/>
  <c r="AC465" i="3" s="1"/>
  <c r="AD465" i="3" s="1"/>
  <c r="AE465" i="3" s="1"/>
  <c r="AB464" i="3"/>
  <c r="AA464" i="3"/>
  <c r="Z464" i="3"/>
  <c r="Y464" i="3"/>
  <c r="AC464" i="3" s="1"/>
  <c r="AD464" i="3" s="1"/>
  <c r="AE464" i="3" s="1"/>
  <c r="AB463" i="3"/>
  <c r="AA463" i="3"/>
  <c r="Z463" i="3"/>
  <c r="Y463" i="3"/>
  <c r="AC463" i="3" s="1"/>
  <c r="AD463" i="3" s="1"/>
  <c r="AE463" i="3" s="1"/>
  <c r="AB462" i="3"/>
  <c r="AA462" i="3"/>
  <c r="Z462" i="3"/>
  <c r="Y462" i="3"/>
  <c r="AC462" i="3" s="1"/>
  <c r="AD462" i="3" s="1"/>
  <c r="AE462" i="3" s="1"/>
  <c r="AB461" i="3"/>
  <c r="AA461" i="3"/>
  <c r="Z461" i="3"/>
  <c r="Y461" i="3"/>
  <c r="AC461" i="3" s="1"/>
  <c r="AD461" i="3" s="1"/>
  <c r="AE461" i="3" s="1"/>
  <c r="AB460" i="3"/>
  <c r="AA460" i="3"/>
  <c r="Z460" i="3"/>
  <c r="Y460" i="3"/>
  <c r="AC460" i="3" s="1"/>
  <c r="AD460" i="3" s="1"/>
  <c r="AE460" i="3" s="1"/>
  <c r="AB459" i="3"/>
  <c r="AA459" i="3"/>
  <c r="Z459" i="3"/>
  <c r="Y459" i="3"/>
  <c r="AC459" i="3" s="1"/>
  <c r="AD459" i="3" s="1"/>
  <c r="AE459" i="3" s="1"/>
  <c r="AB458" i="3"/>
  <c r="AA458" i="3"/>
  <c r="Z458" i="3"/>
  <c r="Y458" i="3"/>
  <c r="AC458" i="3" s="1"/>
  <c r="AD458" i="3" s="1"/>
  <c r="AE458" i="3" s="1"/>
  <c r="AB457" i="3"/>
  <c r="AA457" i="3"/>
  <c r="Z457" i="3"/>
  <c r="Y457" i="3"/>
  <c r="AC457" i="3" s="1"/>
  <c r="AD457" i="3" s="1"/>
  <c r="AE457" i="3" s="1"/>
  <c r="AB456" i="3"/>
  <c r="AA456" i="3"/>
  <c r="Z456" i="3"/>
  <c r="Y456" i="3"/>
  <c r="AC456" i="3" s="1"/>
  <c r="AD456" i="3" s="1"/>
  <c r="AE456" i="3" s="1"/>
  <c r="AB455" i="3"/>
  <c r="AA455" i="3"/>
  <c r="Z455" i="3"/>
  <c r="Y455" i="3"/>
  <c r="AC455" i="3" s="1"/>
  <c r="AD455" i="3" s="1"/>
  <c r="AE455" i="3" s="1"/>
  <c r="AB454" i="3"/>
  <c r="AA454" i="3"/>
  <c r="Z454" i="3"/>
  <c r="Y454" i="3"/>
  <c r="AC454" i="3" s="1"/>
  <c r="AD454" i="3" s="1"/>
  <c r="AE454" i="3" s="1"/>
  <c r="AB453" i="3"/>
  <c r="AA453" i="3"/>
  <c r="Z453" i="3"/>
  <c r="Y453" i="3"/>
  <c r="AC453" i="3" s="1"/>
  <c r="AD453" i="3" s="1"/>
  <c r="AE453" i="3" s="1"/>
  <c r="AB452" i="3"/>
  <c r="AA452" i="3"/>
  <c r="Z452" i="3"/>
  <c r="Y452" i="3"/>
  <c r="AC452" i="3" s="1"/>
  <c r="AD452" i="3" s="1"/>
  <c r="AB451" i="3"/>
  <c r="AA451" i="3"/>
  <c r="Z451" i="3"/>
  <c r="Y451" i="3"/>
  <c r="AC451" i="3" s="1"/>
  <c r="AD451" i="3" s="1"/>
  <c r="AE451" i="3" s="1"/>
  <c r="AB450" i="3"/>
  <c r="AA450" i="3"/>
  <c r="Z450" i="3"/>
  <c r="Y450" i="3"/>
  <c r="AC450" i="3" s="1"/>
  <c r="AD450" i="3" s="1"/>
  <c r="AE450" i="3" s="1"/>
  <c r="AB449" i="3"/>
  <c r="AA449" i="3"/>
  <c r="Z449" i="3"/>
  <c r="Y449" i="3"/>
  <c r="AC449" i="3" s="1"/>
  <c r="AD449" i="3" s="1"/>
  <c r="AE449" i="3" s="1"/>
  <c r="AB448" i="3"/>
  <c r="AA448" i="3"/>
  <c r="Z448" i="3"/>
  <c r="Y448" i="3"/>
  <c r="AC448" i="3" s="1"/>
  <c r="AD448" i="3" s="1"/>
  <c r="AE448" i="3" s="1"/>
  <c r="AB447" i="3"/>
  <c r="AA447" i="3"/>
  <c r="Z447" i="3"/>
  <c r="Y447" i="3"/>
  <c r="AC447" i="3" s="1"/>
  <c r="AD447" i="3" s="1"/>
  <c r="AE447" i="3" s="1"/>
  <c r="AB446" i="3"/>
  <c r="AA446" i="3"/>
  <c r="Z446" i="3"/>
  <c r="Y446" i="3"/>
  <c r="AC446" i="3" s="1"/>
  <c r="AD446" i="3" s="1"/>
  <c r="AE446" i="3" s="1"/>
  <c r="AB445" i="3"/>
  <c r="AA445" i="3"/>
  <c r="Z445" i="3"/>
  <c r="Y445" i="3"/>
  <c r="AC445" i="3" s="1"/>
  <c r="AD445" i="3" s="1"/>
  <c r="AE445" i="3" s="1"/>
  <c r="AB444" i="3"/>
  <c r="AA444" i="3"/>
  <c r="Z444" i="3"/>
  <c r="Y444" i="3"/>
  <c r="AC444" i="3" s="1"/>
  <c r="AD444" i="3" s="1"/>
  <c r="AE444" i="3" s="1"/>
  <c r="AB443" i="3"/>
  <c r="AA443" i="3"/>
  <c r="Z443" i="3"/>
  <c r="Y443" i="3"/>
  <c r="AC443" i="3" s="1"/>
  <c r="AD443" i="3" s="1"/>
  <c r="AE443" i="3" s="1"/>
  <c r="AB442" i="3"/>
  <c r="AA442" i="3"/>
  <c r="Z442" i="3"/>
  <c r="Y442" i="3"/>
  <c r="AC442" i="3" s="1"/>
  <c r="AD442" i="3" s="1"/>
  <c r="AE442" i="3" s="1"/>
  <c r="AB441" i="3"/>
  <c r="AA441" i="3"/>
  <c r="Z441" i="3"/>
  <c r="Y441" i="3"/>
  <c r="AC441" i="3" s="1"/>
  <c r="AD441" i="3" s="1"/>
  <c r="AE441" i="3" s="1"/>
  <c r="AB440" i="3"/>
  <c r="AA440" i="3"/>
  <c r="Z440" i="3"/>
  <c r="Y440" i="3"/>
  <c r="AC440" i="3" s="1"/>
  <c r="AD440" i="3" s="1"/>
  <c r="AE440" i="3" s="1"/>
  <c r="AB439" i="3"/>
  <c r="AA439" i="3"/>
  <c r="Z439" i="3"/>
  <c r="Y439" i="3"/>
  <c r="AC439" i="3" s="1"/>
  <c r="AD439" i="3" s="1"/>
  <c r="AE439" i="3" s="1"/>
  <c r="AB438" i="3"/>
  <c r="AA438" i="3"/>
  <c r="Z438" i="3"/>
  <c r="Y438" i="3"/>
  <c r="AC438" i="3" s="1"/>
  <c r="AD438" i="3" s="1"/>
  <c r="AE438" i="3" s="1"/>
  <c r="AB437" i="3"/>
  <c r="AA437" i="3"/>
  <c r="Z437" i="3"/>
  <c r="Y437" i="3"/>
  <c r="AC437" i="3" s="1"/>
  <c r="AD437" i="3" s="1"/>
  <c r="AB436" i="3"/>
  <c r="AA436" i="3"/>
  <c r="Z436" i="3"/>
  <c r="Y436" i="3"/>
  <c r="AC436" i="3" s="1"/>
  <c r="AD436" i="3" s="1"/>
  <c r="AE436" i="3" s="1"/>
  <c r="AB435" i="3"/>
  <c r="AA435" i="3"/>
  <c r="Z435" i="3"/>
  <c r="Y435" i="3"/>
  <c r="AC435" i="3" s="1"/>
  <c r="AD435" i="3" s="1"/>
  <c r="AE435" i="3" s="1"/>
  <c r="AB434" i="3"/>
  <c r="AA434" i="3"/>
  <c r="Z434" i="3"/>
  <c r="Y434" i="3"/>
  <c r="AC434" i="3" s="1"/>
  <c r="AD434" i="3" s="1"/>
  <c r="AE434" i="3" s="1"/>
  <c r="AB433" i="3"/>
  <c r="AA433" i="3"/>
  <c r="Z433" i="3"/>
  <c r="Y433" i="3"/>
  <c r="AC433" i="3" s="1"/>
  <c r="AD433" i="3" s="1"/>
  <c r="AE433" i="3" s="1"/>
  <c r="AB432" i="3"/>
  <c r="AA432" i="3"/>
  <c r="Z432" i="3"/>
  <c r="Y432" i="3"/>
  <c r="AC432" i="3" s="1"/>
  <c r="AD432" i="3" s="1"/>
  <c r="AE432" i="3" s="1"/>
  <c r="AB431" i="3"/>
  <c r="AA431" i="3"/>
  <c r="Z431" i="3"/>
  <c r="Y431" i="3"/>
  <c r="AC431" i="3" s="1"/>
  <c r="AD431" i="3" s="1"/>
  <c r="AE431" i="3" s="1"/>
  <c r="AB430" i="3"/>
  <c r="AA430" i="3"/>
  <c r="Z430" i="3"/>
  <c r="Y430" i="3"/>
  <c r="AC430" i="3" s="1"/>
  <c r="AD430" i="3" s="1"/>
  <c r="AE430" i="3" s="1"/>
  <c r="AB429" i="3"/>
  <c r="AA429" i="3"/>
  <c r="Z429" i="3"/>
  <c r="Y429" i="3"/>
  <c r="AC429" i="3" s="1"/>
  <c r="AD429" i="3" s="1"/>
  <c r="AE429" i="3" s="1"/>
  <c r="AB428" i="3"/>
  <c r="AA428" i="3"/>
  <c r="Z428" i="3"/>
  <c r="Y428" i="3"/>
  <c r="AC428" i="3" s="1"/>
  <c r="AD428" i="3" s="1"/>
  <c r="AE428" i="3" s="1"/>
  <c r="AB427" i="3"/>
  <c r="AA427" i="3"/>
  <c r="Z427" i="3"/>
  <c r="Y427" i="3"/>
  <c r="AC427" i="3" s="1"/>
  <c r="AD427" i="3" s="1"/>
  <c r="AE427" i="3" s="1"/>
  <c r="AB426" i="3"/>
  <c r="AA426" i="3"/>
  <c r="Z426" i="3"/>
  <c r="Y426" i="3"/>
  <c r="AB425" i="3"/>
  <c r="AA425" i="3"/>
  <c r="Z425" i="3"/>
  <c r="Y425" i="3"/>
  <c r="AC425" i="3" s="1"/>
  <c r="AD425" i="3" s="1"/>
  <c r="AE425" i="3" s="1"/>
  <c r="AB424" i="3"/>
  <c r="AA424" i="3"/>
  <c r="Z424" i="3"/>
  <c r="Y424" i="3"/>
  <c r="AC424" i="3" s="1"/>
  <c r="AD424" i="3" s="1"/>
  <c r="AE424" i="3" s="1"/>
  <c r="AB423" i="3"/>
  <c r="AA423" i="3"/>
  <c r="Z423" i="3"/>
  <c r="Y423" i="3"/>
  <c r="AC423" i="3" s="1"/>
  <c r="AD423" i="3" s="1"/>
  <c r="AE423" i="3" s="1"/>
  <c r="AB422" i="3"/>
  <c r="AA422" i="3"/>
  <c r="Z422" i="3"/>
  <c r="Y422" i="3"/>
  <c r="AC422" i="3" s="1"/>
  <c r="AD422" i="3" s="1"/>
  <c r="AB421" i="3"/>
  <c r="AA421" i="3"/>
  <c r="Z421" i="3"/>
  <c r="Y421" i="3"/>
  <c r="AC421" i="3" s="1"/>
  <c r="AD421" i="3" s="1"/>
  <c r="AE421" i="3" s="1"/>
  <c r="AB420" i="3"/>
  <c r="AA420" i="3"/>
  <c r="Z420" i="3"/>
  <c r="Y420" i="3"/>
  <c r="AC420" i="3" s="1"/>
  <c r="AD420" i="3" s="1"/>
  <c r="AE420" i="3" s="1"/>
  <c r="AB419" i="3"/>
  <c r="AA419" i="3"/>
  <c r="Z419" i="3"/>
  <c r="Y419" i="3"/>
  <c r="AC419" i="3" s="1"/>
  <c r="AD419" i="3" s="1"/>
  <c r="AE419" i="3" s="1"/>
  <c r="AB418" i="3"/>
  <c r="AA418" i="3"/>
  <c r="Z418" i="3"/>
  <c r="Y418" i="3"/>
  <c r="AC418" i="3" s="1"/>
  <c r="AD418" i="3" s="1"/>
  <c r="AE418" i="3" s="1"/>
  <c r="AB417" i="3"/>
  <c r="AA417" i="3"/>
  <c r="Z417" i="3"/>
  <c r="Y417" i="3"/>
  <c r="AC417" i="3" s="1"/>
  <c r="AD417" i="3" s="1"/>
  <c r="AE417" i="3" s="1"/>
  <c r="AB416" i="3"/>
  <c r="AA416" i="3"/>
  <c r="Z416" i="3"/>
  <c r="Y416" i="3"/>
  <c r="AC416" i="3" s="1"/>
  <c r="AD416" i="3" s="1"/>
  <c r="AE416" i="3" s="1"/>
  <c r="AB415" i="3"/>
  <c r="AA415" i="3"/>
  <c r="Z415" i="3"/>
  <c r="Y415" i="3"/>
  <c r="AC415" i="3" s="1"/>
  <c r="AD415" i="3" s="1"/>
  <c r="AE415" i="3" s="1"/>
  <c r="AB414" i="3"/>
  <c r="AA414" i="3"/>
  <c r="Z414" i="3"/>
  <c r="Y414" i="3"/>
  <c r="AC414" i="3" s="1"/>
  <c r="AD414" i="3" s="1"/>
  <c r="AE414" i="3" s="1"/>
  <c r="AB413" i="3"/>
  <c r="AA413" i="3"/>
  <c r="Z413" i="3"/>
  <c r="Y413" i="3"/>
  <c r="AC413" i="3" s="1"/>
  <c r="AD413" i="3" s="1"/>
  <c r="AE413" i="3" s="1"/>
  <c r="AB412" i="3"/>
  <c r="AA412" i="3"/>
  <c r="Z412" i="3"/>
  <c r="Y412" i="3"/>
  <c r="AC412" i="3" s="1"/>
  <c r="AD412" i="3" s="1"/>
  <c r="AE412" i="3" s="1"/>
  <c r="AB411" i="3"/>
  <c r="AA411" i="3"/>
  <c r="Z411" i="3"/>
  <c r="Y411" i="3"/>
  <c r="AC411" i="3" s="1"/>
  <c r="AD411" i="3" s="1"/>
  <c r="AE411" i="3" s="1"/>
  <c r="AB410" i="3"/>
  <c r="AA410" i="3"/>
  <c r="Z410" i="3"/>
  <c r="Y410" i="3"/>
  <c r="AC410" i="3" s="1"/>
  <c r="AD410" i="3" s="1"/>
  <c r="AE410" i="3" s="1"/>
  <c r="AB409" i="3"/>
  <c r="AA409" i="3"/>
  <c r="Z409" i="3"/>
  <c r="Y409" i="3"/>
  <c r="AC409" i="3" s="1"/>
  <c r="AD409" i="3" s="1"/>
  <c r="AE409" i="3" s="1"/>
  <c r="AB408" i="3"/>
  <c r="AA408" i="3"/>
  <c r="Z408" i="3"/>
  <c r="Y408" i="3"/>
  <c r="AC408" i="3" s="1"/>
  <c r="AD408" i="3" s="1"/>
  <c r="AE408" i="3" s="1"/>
  <c r="AB407" i="3"/>
  <c r="AA407" i="3"/>
  <c r="Z407" i="3"/>
  <c r="Y407" i="3"/>
  <c r="AC407" i="3" s="1"/>
  <c r="AD407" i="3" s="1"/>
  <c r="AB406" i="3"/>
  <c r="AA406" i="3"/>
  <c r="Z406" i="3"/>
  <c r="Y406" i="3"/>
  <c r="AC406" i="3" s="1"/>
  <c r="AD406" i="3" s="1"/>
  <c r="AE406" i="3" s="1"/>
  <c r="AB405" i="3"/>
  <c r="AA405" i="3"/>
  <c r="Z405" i="3"/>
  <c r="Y405" i="3"/>
  <c r="AC405" i="3" s="1"/>
  <c r="AD405" i="3" s="1"/>
  <c r="AE405" i="3" s="1"/>
  <c r="AB404" i="3"/>
  <c r="AA404" i="3"/>
  <c r="Z404" i="3"/>
  <c r="Y404" i="3"/>
  <c r="AC404" i="3" s="1"/>
  <c r="AD404" i="3" s="1"/>
  <c r="AE404" i="3" s="1"/>
  <c r="AB403" i="3"/>
  <c r="AA403" i="3"/>
  <c r="Z403" i="3"/>
  <c r="Y403" i="3"/>
  <c r="AC403" i="3" s="1"/>
  <c r="AD403" i="3" s="1"/>
  <c r="AE403" i="3" s="1"/>
  <c r="AB402" i="3"/>
  <c r="AA402" i="3"/>
  <c r="Z402" i="3"/>
  <c r="Y402" i="3"/>
  <c r="AC402" i="3" s="1"/>
  <c r="AD402" i="3" s="1"/>
  <c r="AE402" i="3" s="1"/>
  <c r="AB401" i="3"/>
  <c r="AA401" i="3"/>
  <c r="Z401" i="3"/>
  <c r="Y401" i="3"/>
  <c r="AC401" i="3" s="1"/>
  <c r="AD401" i="3" s="1"/>
  <c r="AE401" i="3" s="1"/>
  <c r="AB400" i="3"/>
  <c r="AA400" i="3"/>
  <c r="Z400" i="3"/>
  <c r="Y400" i="3"/>
  <c r="AC400" i="3" s="1"/>
  <c r="AD400" i="3" s="1"/>
  <c r="AE400" i="3" s="1"/>
  <c r="AB399" i="3"/>
  <c r="AA399" i="3"/>
  <c r="Z399" i="3"/>
  <c r="Y399" i="3"/>
  <c r="AC399" i="3" s="1"/>
  <c r="AD399" i="3" s="1"/>
  <c r="AE399" i="3" s="1"/>
  <c r="AB398" i="3"/>
  <c r="AA398" i="3"/>
  <c r="Z398" i="3"/>
  <c r="Y398" i="3"/>
  <c r="AC398" i="3" s="1"/>
  <c r="AD398" i="3" s="1"/>
  <c r="AE398" i="3" s="1"/>
  <c r="AB397" i="3"/>
  <c r="AA397" i="3"/>
  <c r="Z397" i="3"/>
  <c r="Y397" i="3"/>
  <c r="AC397" i="3" s="1"/>
  <c r="AD397" i="3" s="1"/>
  <c r="AE397" i="3" s="1"/>
  <c r="AB396" i="3"/>
  <c r="AA396" i="3"/>
  <c r="Z396" i="3"/>
  <c r="Y396" i="3"/>
  <c r="AC396" i="3" s="1"/>
  <c r="AD396" i="3" s="1"/>
  <c r="AE396" i="3" s="1"/>
  <c r="AB395" i="3"/>
  <c r="AA395" i="3"/>
  <c r="Z395" i="3"/>
  <c r="Y395" i="3"/>
  <c r="AC395" i="3" s="1"/>
  <c r="AD395" i="3" s="1"/>
  <c r="AE395" i="3" s="1"/>
  <c r="AB394" i="3"/>
  <c r="AA394" i="3"/>
  <c r="Z394" i="3"/>
  <c r="Y394" i="3"/>
  <c r="AC394" i="3" s="1"/>
  <c r="AD394" i="3" s="1"/>
  <c r="AE394" i="3" s="1"/>
  <c r="AB393" i="3"/>
  <c r="AA393" i="3"/>
  <c r="Z393" i="3"/>
  <c r="Y393" i="3"/>
  <c r="AC393" i="3" s="1"/>
  <c r="AD393" i="3" s="1"/>
  <c r="AE393" i="3" s="1"/>
  <c r="AB392" i="3"/>
  <c r="AA392" i="3"/>
  <c r="Z392" i="3"/>
  <c r="Y392" i="3"/>
  <c r="AC392" i="3" s="1"/>
  <c r="AD392" i="3" s="1"/>
  <c r="AB391" i="3"/>
  <c r="AA391" i="3"/>
  <c r="Z391" i="3"/>
  <c r="Y391" i="3"/>
  <c r="AC391" i="3" s="1"/>
  <c r="AD391" i="3" s="1"/>
  <c r="AE391" i="3" s="1"/>
  <c r="AB390" i="3"/>
  <c r="AA390" i="3"/>
  <c r="Z390" i="3"/>
  <c r="Y390" i="3"/>
  <c r="AC390" i="3" s="1"/>
  <c r="AD390" i="3" s="1"/>
  <c r="AE390" i="3" s="1"/>
  <c r="AB389" i="3"/>
  <c r="AA389" i="3"/>
  <c r="Z389" i="3"/>
  <c r="Y389" i="3"/>
  <c r="AC389" i="3" s="1"/>
  <c r="AD389" i="3" s="1"/>
  <c r="AE389" i="3" s="1"/>
  <c r="AB388" i="3"/>
  <c r="AA388" i="3"/>
  <c r="Z388" i="3"/>
  <c r="Y388" i="3"/>
  <c r="AC388" i="3" s="1"/>
  <c r="AD388" i="3" s="1"/>
  <c r="AE388" i="3" s="1"/>
  <c r="AB387" i="3"/>
  <c r="AA387" i="3"/>
  <c r="Z387" i="3"/>
  <c r="Y387" i="3"/>
  <c r="AC387" i="3" s="1"/>
  <c r="AD387" i="3" s="1"/>
  <c r="AE387" i="3" s="1"/>
  <c r="AB386" i="3"/>
  <c r="AA386" i="3"/>
  <c r="Z386" i="3"/>
  <c r="Y386" i="3"/>
  <c r="AC386" i="3" s="1"/>
  <c r="AD386" i="3" s="1"/>
  <c r="AE386" i="3" s="1"/>
  <c r="AB385" i="3"/>
  <c r="AA385" i="3"/>
  <c r="Z385" i="3"/>
  <c r="Y385" i="3"/>
  <c r="AC385" i="3" s="1"/>
  <c r="AD385" i="3" s="1"/>
  <c r="AE385" i="3" s="1"/>
  <c r="AB384" i="3"/>
  <c r="AA384" i="3"/>
  <c r="Z384" i="3"/>
  <c r="Y384" i="3"/>
  <c r="AC384" i="3" s="1"/>
  <c r="AD384" i="3" s="1"/>
  <c r="AE384" i="3" s="1"/>
  <c r="AB383" i="3"/>
  <c r="AA383" i="3"/>
  <c r="Z383" i="3"/>
  <c r="Y383" i="3"/>
  <c r="AC383" i="3" s="1"/>
  <c r="AD383" i="3" s="1"/>
  <c r="AE383" i="3" s="1"/>
  <c r="AB382" i="3"/>
  <c r="AA382" i="3"/>
  <c r="Z382" i="3"/>
  <c r="Y382" i="3"/>
  <c r="AC382" i="3" s="1"/>
  <c r="AD382" i="3" s="1"/>
  <c r="AE382" i="3" s="1"/>
  <c r="AB381" i="3"/>
  <c r="AA381" i="3"/>
  <c r="Z381" i="3"/>
  <c r="Y381" i="3"/>
  <c r="AC381" i="3" s="1"/>
  <c r="AD381" i="3" s="1"/>
  <c r="AE381" i="3" s="1"/>
  <c r="AB380" i="3"/>
  <c r="AA380" i="3"/>
  <c r="Z380" i="3"/>
  <c r="Y380" i="3"/>
  <c r="AC380" i="3" s="1"/>
  <c r="AD380" i="3" s="1"/>
  <c r="AE380" i="3" s="1"/>
  <c r="AB379" i="3"/>
  <c r="AA379" i="3"/>
  <c r="Z379" i="3"/>
  <c r="Y379" i="3"/>
  <c r="AC379" i="3" s="1"/>
  <c r="AD379" i="3" s="1"/>
  <c r="AE379" i="3" s="1"/>
  <c r="AB378" i="3"/>
  <c r="AA378" i="3"/>
  <c r="Z378" i="3"/>
  <c r="Y378" i="3"/>
  <c r="AC378" i="3" s="1"/>
  <c r="AD378" i="3" s="1"/>
  <c r="AE378" i="3" s="1"/>
  <c r="AB377" i="3"/>
  <c r="AA377" i="3"/>
  <c r="Z377" i="3"/>
  <c r="Y377" i="3"/>
  <c r="AC377" i="3" s="1"/>
  <c r="AD377" i="3" s="1"/>
  <c r="AB376" i="3"/>
  <c r="AA376" i="3"/>
  <c r="Z376" i="3"/>
  <c r="Y376" i="3"/>
  <c r="AC376" i="3" s="1"/>
  <c r="AD376" i="3" s="1"/>
  <c r="AE376" i="3" s="1"/>
  <c r="AB375" i="3"/>
  <c r="AA375" i="3"/>
  <c r="Z375" i="3"/>
  <c r="Y375" i="3"/>
  <c r="AC375" i="3" s="1"/>
  <c r="AD375" i="3" s="1"/>
  <c r="AE375" i="3" s="1"/>
  <c r="AB374" i="3"/>
  <c r="AA374" i="3"/>
  <c r="Z374" i="3"/>
  <c r="Y374" i="3"/>
  <c r="AC374" i="3" s="1"/>
  <c r="AD374" i="3" s="1"/>
  <c r="AE374" i="3" s="1"/>
  <c r="AB373" i="3"/>
  <c r="AA373" i="3"/>
  <c r="Z373" i="3"/>
  <c r="Y373" i="3"/>
  <c r="AC373" i="3" s="1"/>
  <c r="AD373" i="3" s="1"/>
  <c r="AE373" i="3" s="1"/>
  <c r="AB372" i="3"/>
  <c r="AA372" i="3"/>
  <c r="Z372" i="3"/>
  <c r="Y372" i="3"/>
  <c r="AC372" i="3" s="1"/>
  <c r="AD372" i="3" s="1"/>
  <c r="AE372" i="3" s="1"/>
  <c r="AB371" i="3"/>
  <c r="AA371" i="3"/>
  <c r="Z371" i="3"/>
  <c r="Y371" i="3"/>
  <c r="AC371" i="3" s="1"/>
  <c r="AD371" i="3" s="1"/>
  <c r="AE371" i="3" s="1"/>
  <c r="AB370" i="3"/>
  <c r="AA370" i="3"/>
  <c r="Z370" i="3"/>
  <c r="Y370" i="3"/>
  <c r="AC370" i="3" s="1"/>
  <c r="AD370" i="3" s="1"/>
  <c r="AE370" i="3" s="1"/>
  <c r="AB369" i="3"/>
  <c r="AA369" i="3"/>
  <c r="Z369" i="3"/>
  <c r="Y369" i="3"/>
  <c r="AC369" i="3" s="1"/>
  <c r="AD369" i="3" s="1"/>
  <c r="AE369" i="3" s="1"/>
  <c r="AB368" i="3"/>
  <c r="AA368" i="3"/>
  <c r="Z368" i="3"/>
  <c r="Y368" i="3"/>
  <c r="AC368" i="3" s="1"/>
  <c r="AD368" i="3" s="1"/>
  <c r="AE368" i="3" s="1"/>
  <c r="AB367" i="3"/>
  <c r="AA367" i="3"/>
  <c r="Z367" i="3"/>
  <c r="Y367" i="3"/>
  <c r="AC367" i="3" s="1"/>
  <c r="AD367" i="3" s="1"/>
  <c r="AE367" i="3" s="1"/>
  <c r="AB366" i="3"/>
  <c r="AA366" i="3"/>
  <c r="Z366" i="3"/>
  <c r="Y366" i="3"/>
  <c r="AC366" i="3" s="1"/>
  <c r="AD366" i="3" s="1"/>
  <c r="AE366" i="3" s="1"/>
  <c r="AB365" i="3"/>
  <c r="AA365" i="3"/>
  <c r="Z365" i="3"/>
  <c r="Y365" i="3"/>
  <c r="AC365" i="3" s="1"/>
  <c r="AD365" i="3" s="1"/>
  <c r="AE365" i="3" s="1"/>
  <c r="AB364" i="3"/>
  <c r="AA364" i="3"/>
  <c r="Z364" i="3"/>
  <c r="Y364" i="3"/>
  <c r="AC364" i="3" s="1"/>
  <c r="AD364" i="3" s="1"/>
  <c r="AE364" i="3" s="1"/>
  <c r="AB363" i="3"/>
  <c r="AA363" i="3"/>
  <c r="Z363" i="3"/>
  <c r="Y363" i="3"/>
  <c r="AC363" i="3" s="1"/>
  <c r="AD363" i="3" s="1"/>
  <c r="AE363" i="3" s="1"/>
  <c r="AB362" i="3"/>
  <c r="AA362" i="3"/>
  <c r="Z362" i="3"/>
  <c r="Y362" i="3"/>
  <c r="AC362" i="3" s="1"/>
  <c r="AD362" i="3" s="1"/>
  <c r="AB361" i="3"/>
  <c r="AA361" i="3"/>
  <c r="Z361" i="3"/>
  <c r="Y361" i="3"/>
  <c r="AC361" i="3" s="1"/>
  <c r="AD361" i="3" s="1"/>
  <c r="AE361" i="3" s="1"/>
  <c r="AB360" i="3"/>
  <c r="AA360" i="3"/>
  <c r="Z360" i="3"/>
  <c r="Y360" i="3"/>
  <c r="AC360" i="3" s="1"/>
  <c r="AD360" i="3" s="1"/>
  <c r="AE360" i="3" s="1"/>
  <c r="AB359" i="3"/>
  <c r="AA359" i="3"/>
  <c r="Z359" i="3"/>
  <c r="Y359" i="3"/>
  <c r="AC359" i="3" s="1"/>
  <c r="AD359" i="3" s="1"/>
  <c r="AE359" i="3" s="1"/>
  <c r="AB358" i="3"/>
  <c r="AA358" i="3"/>
  <c r="Z358" i="3"/>
  <c r="Y358" i="3"/>
  <c r="AC358" i="3" s="1"/>
  <c r="AD358" i="3" s="1"/>
  <c r="AE358" i="3" s="1"/>
  <c r="AB357" i="3"/>
  <c r="AA357" i="3"/>
  <c r="Z357" i="3"/>
  <c r="Y357" i="3"/>
  <c r="AC357" i="3" s="1"/>
  <c r="AD357" i="3" s="1"/>
  <c r="AE357" i="3" s="1"/>
  <c r="AB356" i="3"/>
  <c r="AA356" i="3"/>
  <c r="Z356" i="3"/>
  <c r="Y356" i="3"/>
  <c r="AC356" i="3" s="1"/>
  <c r="AD356" i="3" s="1"/>
  <c r="AE356" i="3" s="1"/>
  <c r="AB355" i="3"/>
  <c r="AA355" i="3"/>
  <c r="Z355" i="3"/>
  <c r="Y355" i="3"/>
  <c r="AC355" i="3" s="1"/>
  <c r="AD355" i="3" s="1"/>
  <c r="AE355" i="3" s="1"/>
  <c r="AB354" i="3"/>
  <c r="AA354" i="3"/>
  <c r="Z354" i="3"/>
  <c r="Y354" i="3"/>
  <c r="AC354" i="3" s="1"/>
  <c r="AD354" i="3" s="1"/>
  <c r="AE354" i="3" s="1"/>
  <c r="AB353" i="3"/>
  <c r="AA353" i="3"/>
  <c r="Z353" i="3"/>
  <c r="Y353" i="3"/>
  <c r="AC353" i="3" s="1"/>
  <c r="AD353" i="3" s="1"/>
  <c r="AE353" i="3" s="1"/>
  <c r="AB352" i="3"/>
  <c r="AA352" i="3"/>
  <c r="Z352" i="3"/>
  <c r="Y352" i="3"/>
  <c r="AC352" i="3" s="1"/>
  <c r="AD352" i="3" s="1"/>
  <c r="AE352" i="3" s="1"/>
  <c r="AB351" i="3"/>
  <c r="AA351" i="3"/>
  <c r="Z351" i="3"/>
  <c r="Y351" i="3"/>
  <c r="AC351" i="3" s="1"/>
  <c r="AD351" i="3" s="1"/>
  <c r="AE351" i="3" s="1"/>
  <c r="AB350" i="3"/>
  <c r="AA350" i="3"/>
  <c r="Z350" i="3"/>
  <c r="Y350" i="3"/>
  <c r="AC350" i="3" s="1"/>
  <c r="AD350" i="3" s="1"/>
  <c r="AE350" i="3" s="1"/>
  <c r="AB349" i="3"/>
  <c r="AA349" i="3"/>
  <c r="Z349" i="3"/>
  <c r="Y349" i="3"/>
  <c r="AC349" i="3" s="1"/>
  <c r="AD349" i="3" s="1"/>
  <c r="AE349" i="3" s="1"/>
  <c r="AB348" i="3"/>
  <c r="AA348" i="3"/>
  <c r="Z348" i="3"/>
  <c r="Y348" i="3"/>
  <c r="AC348" i="3" s="1"/>
  <c r="AD348" i="3" s="1"/>
  <c r="AE348" i="3" s="1"/>
  <c r="AB347" i="3"/>
  <c r="AA347" i="3"/>
  <c r="Z347" i="3"/>
  <c r="Y347" i="3"/>
  <c r="AC347" i="3" s="1"/>
  <c r="AD347" i="3" s="1"/>
  <c r="AB346" i="3"/>
  <c r="AA346" i="3"/>
  <c r="Z346" i="3"/>
  <c r="Y346" i="3"/>
  <c r="AC346" i="3" s="1"/>
  <c r="AD346" i="3" s="1"/>
  <c r="AE346" i="3" s="1"/>
  <c r="AB345" i="3"/>
  <c r="AA345" i="3"/>
  <c r="Z345" i="3"/>
  <c r="Y345" i="3"/>
  <c r="AC345" i="3" s="1"/>
  <c r="AD345" i="3" s="1"/>
  <c r="AE345" i="3" s="1"/>
  <c r="AB344" i="3"/>
  <c r="AA344" i="3"/>
  <c r="Z344" i="3"/>
  <c r="Y344" i="3"/>
  <c r="AC344" i="3" s="1"/>
  <c r="AD344" i="3" s="1"/>
  <c r="AE344" i="3" s="1"/>
  <c r="AB343" i="3"/>
  <c r="AA343" i="3"/>
  <c r="Z343" i="3"/>
  <c r="Y343" i="3"/>
  <c r="AC343" i="3" s="1"/>
  <c r="AD343" i="3" s="1"/>
  <c r="AE343" i="3" s="1"/>
  <c r="AB342" i="3"/>
  <c r="AA342" i="3"/>
  <c r="Z342" i="3"/>
  <c r="Y342" i="3"/>
  <c r="AC342" i="3" s="1"/>
  <c r="AD342" i="3" s="1"/>
  <c r="AE342" i="3" s="1"/>
  <c r="AB341" i="3"/>
  <c r="AA341" i="3"/>
  <c r="Z341" i="3"/>
  <c r="Y341" i="3"/>
  <c r="AC341" i="3" s="1"/>
  <c r="AD341" i="3" s="1"/>
  <c r="AE341" i="3" s="1"/>
  <c r="AB340" i="3"/>
  <c r="AA340" i="3"/>
  <c r="Z340" i="3"/>
  <c r="Y340" i="3"/>
  <c r="AC340" i="3" s="1"/>
  <c r="AD340" i="3" s="1"/>
  <c r="AE340" i="3" s="1"/>
  <c r="AB339" i="3"/>
  <c r="AA339" i="3"/>
  <c r="Z339" i="3"/>
  <c r="Y339" i="3"/>
  <c r="AC339" i="3" s="1"/>
  <c r="AD339" i="3" s="1"/>
  <c r="AE339" i="3" s="1"/>
  <c r="AB338" i="3"/>
  <c r="AA338" i="3"/>
  <c r="Z338" i="3"/>
  <c r="Y338" i="3"/>
  <c r="AC338" i="3" s="1"/>
  <c r="AD338" i="3" s="1"/>
  <c r="AE338" i="3" s="1"/>
  <c r="AB337" i="3"/>
  <c r="AA337" i="3"/>
  <c r="Z337" i="3"/>
  <c r="Y337" i="3"/>
  <c r="AC337" i="3" s="1"/>
  <c r="AD337" i="3" s="1"/>
  <c r="AE337" i="3" s="1"/>
  <c r="AB336" i="3"/>
  <c r="AA336" i="3"/>
  <c r="Z336" i="3"/>
  <c r="Y336" i="3"/>
  <c r="AC336" i="3" s="1"/>
  <c r="AD336" i="3" s="1"/>
  <c r="AE336" i="3" s="1"/>
  <c r="AB335" i="3"/>
  <c r="AA335" i="3"/>
  <c r="Z335" i="3"/>
  <c r="Y335" i="3"/>
  <c r="AC335" i="3" s="1"/>
  <c r="AD335" i="3" s="1"/>
  <c r="AE335" i="3" s="1"/>
  <c r="AB334" i="3"/>
  <c r="AA334" i="3"/>
  <c r="Z334" i="3"/>
  <c r="Y334" i="3"/>
  <c r="AC334" i="3" s="1"/>
  <c r="AD334" i="3" s="1"/>
  <c r="AE334" i="3" s="1"/>
  <c r="AB333" i="3"/>
  <c r="AA333" i="3"/>
  <c r="Z333" i="3"/>
  <c r="Y333" i="3"/>
  <c r="AC333" i="3" s="1"/>
  <c r="AD333" i="3" s="1"/>
  <c r="AE333" i="3" s="1"/>
  <c r="AB332" i="3"/>
  <c r="AA332" i="3"/>
  <c r="Z332" i="3"/>
  <c r="Y332" i="3"/>
  <c r="AC332" i="3" s="1"/>
  <c r="AD332" i="3" s="1"/>
  <c r="AB331" i="3"/>
  <c r="AA331" i="3"/>
  <c r="Z331" i="3"/>
  <c r="Y331" i="3"/>
  <c r="AC331" i="3" s="1"/>
  <c r="AD331" i="3" s="1"/>
  <c r="AE331" i="3" s="1"/>
  <c r="AB330" i="3"/>
  <c r="AA330" i="3"/>
  <c r="Z330" i="3"/>
  <c r="Y330" i="3"/>
  <c r="AC330" i="3" s="1"/>
  <c r="AD330" i="3" s="1"/>
  <c r="AE330" i="3" s="1"/>
  <c r="AB329" i="3"/>
  <c r="AA329" i="3"/>
  <c r="Z329" i="3"/>
  <c r="Y329" i="3"/>
  <c r="AC329" i="3" s="1"/>
  <c r="AD329" i="3" s="1"/>
  <c r="AE329" i="3" s="1"/>
  <c r="AB328" i="3"/>
  <c r="AA328" i="3"/>
  <c r="Z328" i="3"/>
  <c r="Y328" i="3"/>
  <c r="AC328" i="3" s="1"/>
  <c r="AD328" i="3" s="1"/>
  <c r="AE328" i="3" s="1"/>
  <c r="AB327" i="3"/>
  <c r="AA327" i="3"/>
  <c r="Z327" i="3"/>
  <c r="Y327" i="3"/>
  <c r="AC327" i="3" s="1"/>
  <c r="AD327" i="3" s="1"/>
  <c r="AE327" i="3" s="1"/>
  <c r="AB326" i="3"/>
  <c r="AA326" i="3"/>
  <c r="Z326" i="3"/>
  <c r="Y326" i="3"/>
  <c r="AC326" i="3" s="1"/>
  <c r="AD326" i="3" s="1"/>
  <c r="AE326" i="3" s="1"/>
  <c r="AB325" i="3"/>
  <c r="AA325" i="3"/>
  <c r="Z325" i="3"/>
  <c r="Y325" i="3"/>
  <c r="AC325" i="3" s="1"/>
  <c r="AD325" i="3" s="1"/>
  <c r="AE325" i="3" s="1"/>
  <c r="AB324" i="3"/>
  <c r="AA324" i="3"/>
  <c r="Z324" i="3"/>
  <c r="Y324" i="3"/>
  <c r="AC324" i="3" s="1"/>
  <c r="AD324" i="3" s="1"/>
  <c r="AE324" i="3" s="1"/>
  <c r="AB323" i="3"/>
  <c r="AA323" i="3"/>
  <c r="Z323" i="3"/>
  <c r="Y323" i="3"/>
  <c r="AC323" i="3" s="1"/>
  <c r="AD323" i="3" s="1"/>
  <c r="AE323" i="3" s="1"/>
  <c r="AB322" i="3"/>
  <c r="AA322" i="3"/>
  <c r="Z322" i="3"/>
  <c r="Y322" i="3"/>
  <c r="AC322" i="3" s="1"/>
  <c r="AD322" i="3" s="1"/>
  <c r="AE322" i="3" s="1"/>
  <c r="AB321" i="3"/>
  <c r="AA321" i="3"/>
  <c r="Z321" i="3"/>
  <c r="Y321" i="3"/>
  <c r="AC321" i="3" s="1"/>
  <c r="AD321" i="3" s="1"/>
  <c r="AE321" i="3" s="1"/>
  <c r="AB320" i="3"/>
  <c r="AA320" i="3"/>
  <c r="Z320" i="3"/>
  <c r="Y320" i="3"/>
  <c r="AC320" i="3" s="1"/>
  <c r="AD320" i="3" s="1"/>
  <c r="AE320" i="3" s="1"/>
  <c r="AB319" i="3"/>
  <c r="AA319" i="3"/>
  <c r="Z319" i="3"/>
  <c r="Y319" i="3"/>
  <c r="AC319" i="3" s="1"/>
  <c r="AD319" i="3" s="1"/>
  <c r="AE319" i="3" s="1"/>
  <c r="AB318" i="3"/>
  <c r="AA318" i="3"/>
  <c r="Z318" i="3"/>
  <c r="Y318" i="3"/>
  <c r="AC318" i="3" s="1"/>
  <c r="AD318" i="3" s="1"/>
  <c r="AE318" i="3" s="1"/>
  <c r="AB317" i="3"/>
  <c r="AA317" i="3"/>
  <c r="Z317" i="3"/>
  <c r="Y317" i="3"/>
  <c r="AC317" i="3" s="1"/>
  <c r="AD317" i="3" s="1"/>
  <c r="AB316" i="3"/>
  <c r="AA316" i="3"/>
  <c r="Z316" i="3"/>
  <c r="Y316" i="3"/>
  <c r="AC316" i="3" s="1"/>
  <c r="AD316" i="3" s="1"/>
  <c r="AE316" i="3" s="1"/>
  <c r="AB315" i="3"/>
  <c r="AA315" i="3"/>
  <c r="Z315" i="3"/>
  <c r="Y315" i="3"/>
  <c r="AC315" i="3" s="1"/>
  <c r="AD315" i="3" s="1"/>
  <c r="AE315" i="3" s="1"/>
  <c r="AB314" i="3"/>
  <c r="AA314" i="3"/>
  <c r="Z314" i="3"/>
  <c r="Y314" i="3"/>
  <c r="AC314" i="3" s="1"/>
  <c r="AD314" i="3" s="1"/>
  <c r="AE314" i="3" s="1"/>
  <c r="AB313" i="3"/>
  <c r="AA313" i="3"/>
  <c r="Z313" i="3"/>
  <c r="Y313" i="3"/>
  <c r="AC313" i="3" s="1"/>
  <c r="AD313" i="3" s="1"/>
  <c r="AE313" i="3" s="1"/>
  <c r="AB312" i="3"/>
  <c r="AA312" i="3"/>
  <c r="Z312" i="3"/>
  <c r="Y312" i="3"/>
  <c r="AC312" i="3" s="1"/>
  <c r="AD312" i="3" s="1"/>
  <c r="AE312" i="3" s="1"/>
  <c r="AB311" i="3"/>
  <c r="AA311" i="3"/>
  <c r="Z311" i="3"/>
  <c r="Y311" i="3"/>
  <c r="AC311" i="3" s="1"/>
  <c r="AD311" i="3" s="1"/>
  <c r="AE311" i="3" s="1"/>
  <c r="AB310" i="3"/>
  <c r="AA310" i="3"/>
  <c r="Z310" i="3"/>
  <c r="Y310" i="3"/>
  <c r="AC310" i="3" s="1"/>
  <c r="AD310" i="3" s="1"/>
  <c r="AE310" i="3" s="1"/>
  <c r="AB309" i="3"/>
  <c r="AA309" i="3"/>
  <c r="Z309" i="3"/>
  <c r="Y309" i="3"/>
  <c r="AC309" i="3" s="1"/>
  <c r="AD309" i="3" s="1"/>
  <c r="AE309" i="3" s="1"/>
  <c r="AB308" i="3"/>
  <c r="AA308" i="3"/>
  <c r="Z308" i="3"/>
  <c r="Y308" i="3"/>
  <c r="AC308" i="3" s="1"/>
  <c r="AD308" i="3" s="1"/>
  <c r="AE308" i="3" s="1"/>
  <c r="AB307" i="3"/>
  <c r="AA307" i="3"/>
  <c r="Z307" i="3"/>
  <c r="Y307" i="3"/>
  <c r="AC307" i="3" s="1"/>
  <c r="AD307" i="3" s="1"/>
  <c r="AE307" i="3" s="1"/>
  <c r="AB306" i="3"/>
  <c r="AA306" i="3"/>
  <c r="Z306" i="3"/>
  <c r="Y306" i="3"/>
  <c r="AC306" i="3" s="1"/>
  <c r="AD306" i="3" s="1"/>
  <c r="AE306" i="3" s="1"/>
  <c r="AB305" i="3"/>
  <c r="AA305" i="3"/>
  <c r="Z305" i="3"/>
  <c r="Y305" i="3"/>
  <c r="AC305" i="3" s="1"/>
  <c r="AD305" i="3" s="1"/>
  <c r="AE305" i="3" s="1"/>
  <c r="AB304" i="3"/>
  <c r="AA304" i="3"/>
  <c r="Z304" i="3"/>
  <c r="Y304" i="3"/>
  <c r="AC304" i="3" s="1"/>
  <c r="AD304" i="3" s="1"/>
  <c r="AE304" i="3" s="1"/>
  <c r="AB303" i="3"/>
  <c r="AA303" i="3"/>
  <c r="Z303" i="3"/>
  <c r="Y303" i="3"/>
  <c r="AC303" i="3" s="1"/>
  <c r="AD303" i="3" s="1"/>
  <c r="AE303" i="3" s="1"/>
  <c r="AB302" i="3"/>
  <c r="AA302" i="3"/>
  <c r="Z302" i="3"/>
  <c r="Y302" i="3"/>
  <c r="AC302" i="3" s="1"/>
  <c r="AD302" i="3" s="1"/>
  <c r="AB301" i="3"/>
  <c r="AA301" i="3"/>
  <c r="Z301" i="3"/>
  <c r="Y301" i="3"/>
  <c r="AC301" i="3" s="1"/>
  <c r="AD301" i="3" s="1"/>
  <c r="AE301" i="3" s="1"/>
  <c r="AB300" i="3"/>
  <c r="AA300" i="3"/>
  <c r="Z300" i="3"/>
  <c r="Y300" i="3"/>
  <c r="AC300" i="3" s="1"/>
  <c r="AD300" i="3" s="1"/>
  <c r="AE300" i="3" s="1"/>
  <c r="AB299" i="3"/>
  <c r="AA299" i="3"/>
  <c r="Z299" i="3"/>
  <c r="Y299" i="3"/>
  <c r="AC299" i="3" s="1"/>
  <c r="AD299" i="3" s="1"/>
  <c r="AE299" i="3" s="1"/>
  <c r="AB298" i="3"/>
  <c r="AA298" i="3"/>
  <c r="Z298" i="3"/>
  <c r="Y298" i="3"/>
  <c r="AC298" i="3" s="1"/>
  <c r="AD298" i="3" s="1"/>
  <c r="AE298" i="3" s="1"/>
  <c r="AB297" i="3"/>
  <c r="AA297" i="3"/>
  <c r="Z297" i="3"/>
  <c r="Y297" i="3"/>
  <c r="AB296" i="3"/>
  <c r="AA296" i="3"/>
  <c r="Z296" i="3"/>
  <c r="Y296" i="3"/>
  <c r="AC296" i="3" s="1"/>
  <c r="AD296" i="3" s="1"/>
  <c r="AE296" i="3" s="1"/>
  <c r="AB295" i="3"/>
  <c r="AA295" i="3"/>
  <c r="Z295" i="3"/>
  <c r="Y295" i="3"/>
  <c r="AC295" i="3" s="1"/>
  <c r="AD295" i="3" s="1"/>
  <c r="AE295" i="3" s="1"/>
  <c r="AB294" i="3"/>
  <c r="AA294" i="3"/>
  <c r="Z294" i="3"/>
  <c r="Y294" i="3"/>
  <c r="AC294" i="3" s="1"/>
  <c r="AD294" i="3" s="1"/>
  <c r="AE294" i="3" s="1"/>
  <c r="AB293" i="3"/>
  <c r="AA293" i="3"/>
  <c r="Z293" i="3"/>
  <c r="Y293" i="3"/>
  <c r="AC293" i="3" s="1"/>
  <c r="AD293" i="3" s="1"/>
  <c r="AE293" i="3" s="1"/>
  <c r="AB292" i="3"/>
  <c r="AA292" i="3"/>
  <c r="Z292" i="3"/>
  <c r="Y292" i="3"/>
  <c r="AC292" i="3" s="1"/>
  <c r="AD292" i="3" s="1"/>
  <c r="AE292" i="3" s="1"/>
  <c r="AB291" i="3"/>
  <c r="AA291" i="3"/>
  <c r="Z291" i="3"/>
  <c r="Y291" i="3"/>
  <c r="AC291" i="3" s="1"/>
  <c r="AD291" i="3" s="1"/>
  <c r="AE291" i="3" s="1"/>
  <c r="AB290" i="3"/>
  <c r="AA290" i="3"/>
  <c r="Z290" i="3"/>
  <c r="Y290" i="3"/>
  <c r="AC290" i="3" s="1"/>
  <c r="AD290" i="3" s="1"/>
  <c r="AE290" i="3" s="1"/>
  <c r="AB289" i="3"/>
  <c r="AA289" i="3"/>
  <c r="Z289" i="3"/>
  <c r="Y289" i="3"/>
  <c r="AC289" i="3" s="1"/>
  <c r="AD289" i="3" s="1"/>
  <c r="AE289" i="3" s="1"/>
  <c r="AB288" i="3"/>
  <c r="AA288" i="3"/>
  <c r="Z288" i="3"/>
  <c r="Y288" i="3"/>
  <c r="AC288" i="3" s="1"/>
  <c r="AD288" i="3" s="1"/>
  <c r="AE288" i="3" s="1"/>
  <c r="AB287" i="3"/>
  <c r="AA287" i="3"/>
  <c r="Z287" i="3"/>
  <c r="Y287" i="3"/>
  <c r="AC287" i="3" s="1"/>
  <c r="AD287" i="3" s="1"/>
  <c r="AB286" i="3"/>
  <c r="AA286" i="3"/>
  <c r="Z286" i="3"/>
  <c r="Y286" i="3"/>
  <c r="AC286" i="3" s="1"/>
  <c r="AD286" i="3" s="1"/>
  <c r="AE286" i="3" s="1"/>
  <c r="AB285" i="3"/>
  <c r="AA285" i="3"/>
  <c r="Z285" i="3"/>
  <c r="Y285" i="3"/>
  <c r="AC285" i="3" s="1"/>
  <c r="AD285" i="3" s="1"/>
  <c r="AE285" i="3" s="1"/>
  <c r="AB284" i="3"/>
  <c r="AA284" i="3"/>
  <c r="Z284" i="3"/>
  <c r="Y284" i="3"/>
  <c r="AC284" i="3" s="1"/>
  <c r="AD284" i="3" s="1"/>
  <c r="AE284" i="3" s="1"/>
  <c r="AB283" i="3"/>
  <c r="AA283" i="3"/>
  <c r="Z283" i="3"/>
  <c r="Y283" i="3"/>
  <c r="AC283" i="3" s="1"/>
  <c r="AD283" i="3" s="1"/>
  <c r="AE283" i="3" s="1"/>
  <c r="AB282" i="3"/>
  <c r="AA282" i="3"/>
  <c r="Z282" i="3"/>
  <c r="Y282" i="3"/>
  <c r="AC282" i="3" s="1"/>
  <c r="AD282" i="3" s="1"/>
  <c r="AE282" i="3" s="1"/>
  <c r="AB281" i="3"/>
  <c r="AA281" i="3"/>
  <c r="Z281" i="3"/>
  <c r="Y281" i="3"/>
  <c r="AC281" i="3" s="1"/>
  <c r="AD281" i="3" s="1"/>
  <c r="AE281" i="3" s="1"/>
  <c r="AB280" i="3"/>
  <c r="AA280" i="3"/>
  <c r="Z280" i="3"/>
  <c r="Y280" i="3"/>
  <c r="AC280" i="3" s="1"/>
  <c r="AD280" i="3" s="1"/>
  <c r="AE280" i="3" s="1"/>
  <c r="AB279" i="3"/>
  <c r="AA279" i="3"/>
  <c r="Z279" i="3"/>
  <c r="Y279" i="3"/>
  <c r="AC279" i="3" s="1"/>
  <c r="AD279" i="3" s="1"/>
  <c r="AE279" i="3" s="1"/>
  <c r="AB278" i="3"/>
  <c r="AA278" i="3"/>
  <c r="Z278" i="3"/>
  <c r="Y278" i="3"/>
  <c r="AC278" i="3" s="1"/>
  <c r="AD278" i="3" s="1"/>
  <c r="AE278" i="3" s="1"/>
  <c r="AB277" i="3"/>
  <c r="AA277" i="3"/>
  <c r="Z277" i="3"/>
  <c r="Y277" i="3"/>
  <c r="AC277" i="3" s="1"/>
  <c r="AD277" i="3" s="1"/>
  <c r="AE277" i="3" s="1"/>
  <c r="AB276" i="3"/>
  <c r="AA276" i="3"/>
  <c r="Z276" i="3"/>
  <c r="Y276" i="3"/>
  <c r="AC276" i="3" s="1"/>
  <c r="AD276" i="3" s="1"/>
  <c r="AE276" i="3" s="1"/>
  <c r="AB275" i="3"/>
  <c r="AA275" i="3"/>
  <c r="Z275" i="3"/>
  <c r="Y275" i="3"/>
  <c r="AC275" i="3" s="1"/>
  <c r="AD275" i="3" s="1"/>
  <c r="AE275" i="3" s="1"/>
  <c r="AB274" i="3"/>
  <c r="AA274" i="3"/>
  <c r="Z274" i="3"/>
  <c r="Y274" i="3"/>
  <c r="AC274" i="3" s="1"/>
  <c r="AD274" i="3" s="1"/>
  <c r="AE274" i="3" s="1"/>
  <c r="AB273" i="3"/>
  <c r="AA273" i="3"/>
  <c r="Z273" i="3"/>
  <c r="Y273" i="3"/>
  <c r="AC273" i="3" s="1"/>
  <c r="AD273" i="3" s="1"/>
  <c r="AE273" i="3" s="1"/>
  <c r="AB272" i="3"/>
  <c r="AA272" i="3"/>
  <c r="Z272" i="3"/>
  <c r="Y272" i="3"/>
  <c r="AC272" i="3" s="1"/>
  <c r="AD272" i="3" s="1"/>
  <c r="AB271" i="3"/>
  <c r="AA271" i="3"/>
  <c r="Z271" i="3"/>
  <c r="Y271" i="3"/>
  <c r="AC271" i="3" s="1"/>
  <c r="AD271" i="3" s="1"/>
  <c r="AE271" i="3" s="1"/>
  <c r="AB270" i="3"/>
  <c r="AA270" i="3"/>
  <c r="Z270" i="3"/>
  <c r="Y270" i="3"/>
  <c r="AC270" i="3" s="1"/>
  <c r="AD270" i="3" s="1"/>
  <c r="AE270" i="3" s="1"/>
  <c r="AB269" i="3"/>
  <c r="AA269" i="3"/>
  <c r="Z269" i="3"/>
  <c r="Y269" i="3"/>
  <c r="AC269" i="3" s="1"/>
  <c r="AD269" i="3" s="1"/>
  <c r="AE269" i="3" s="1"/>
  <c r="AB268" i="3"/>
  <c r="AA268" i="3"/>
  <c r="Z268" i="3"/>
  <c r="Y268" i="3"/>
  <c r="AC268" i="3" s="1"/>
  <c r="AD268" i="3" s="1"/>
  <c r="AE268" i="3" s="1"/>
  <c r="AB267" i="3"/>
  <c r="AA267" i="3"/>
  <c r="Z267" i="3"/>
  <c r="Y267" i="3"/>
  <c r="AC267" i="3" s="1"/>
  <c r="AD267" i="3" s="1"/>
  <c r="AE267" i="3" s="1"/>
  <c r="AB266" i="3"/>
  <c r="AA266" i="3"/>
  <c r="Z266" i="3"/>
  <c r="Y266" i="3"/>
  <c r="AC266" i="3" s="1"/>
  <c r="AD266" i="3" s="1"/>
  <c r="AE266" i="3" s="1"/>
  <c r="AB265" i="3"/>
  <c r="AA265" i="3"/>
  <c r="Z265" i="3"/>
  <c r="Y265" i="3"/>
  <c r="AC265" i="3" s="1"/>
  <c r="AD265" i="3" s="1"/>
  <c r="AE265" i="3" s="1"/>
  <c r="AB264" i="3"/>
  <c r="AA264" i="3"/>
  <c r="Z264" i="3"/>
  <c r="Y264" i="3"/>
  <c r="AC264" i="3" s="1"/>
  <c r="AD264" i="3" s="1"/>
  <c r="AE264" i="3" s="1"/>
  <c r="AB263" i="3"/>
  <c r="AA263" i="3"/>
  <c r="Z263" i="3"/>
  <c r="Y263" i="3"/>
  <c r="AC263" i="3" s="1"/>
  <c r="AD263" i="3" s="1"/>
  <c r="AE263" i="3" s="1"/>
  <c r="AB262" i="3"/>
  <c r="AA262" i="3"/>
  <c r="Z262" i="3"/>
  <c r="Y262" i="3"/>
  <c r="AC262" i="3" s="1"/>
  <c r="AD262" i="3" s="1"/>
  <c r="AE262" i="3" s="1"/>
  <c r="AB261" i="3"/>
  <c r="AA261" i="3"/>
  <c r="Z261" i="3"/>
  <c r="Y261" i="3"/>
  <c r="AC261" i="3" s="1"/>
  <c r="AD261" i="3" s="1"/>
  <c r="AE261" i="3" s="1"/>
  <c r="AB260" i="3"/>
  <c r="AA260" i="3"/>
  <c r="Z260" i="3"/>
  <c r="Y260" i="3"/>
  <c r="AC260" i="3" s="1"/>
  <c r="AD260" i="3" s="1"/>
  <c r="AE260" i="3" s="1"/>
  <c r="AB259" i="3"/>
  <c r="AA259" i="3"/>
  <c r="Z259" i="3"/>
  <c r="Y259" i="3"/>
  <c r="AC259" i="3" s="1"/>
  <c r="AD259" i="3" s="1"/>
  <c r="AE259" i="3" s="1"/>
  <c r="AB258" i="3"/>
  <c r="AA258" i="3"/>
  <c r="Z258" i="3"/>
  <c r="Y258" i="3"/>
  <c r="AC258" i="3" s="1"/>
  <c r="AD258" i="3" s="1"/>
  <c r="AE258" i="3" s="1"/>
  <c r="AB257" i="3"/>
  <c r="AA257" i="3"/>
  <c r="Z257" i="3"/>
  <c r="Y257" i="3"/>
  <c r="AC257" i="3" s="1"/>
  <c r="AD257" i="3" s="1"/>
  <c r="AB256" i="3"/>
  <c r="AA256" i="3"/>
  <c r="Z256" i="3"/>
  <c r="Y256" i="3"/>
  <c r="AC256" i="3" s="1"/>
  <c r="AD256" i="3" s="1"/>
  <c r="AE256" i="3" s="1"/>
  <c r="AB255" i="3"/>
  <c r="AA255" i="3"/>
  <c r="Z255" i="3"/>
  <c r="Y255" i="3"/>
  <c r="AC255" i="3" s="1"/>
  <c r="AD255" i="3" s="1"/>
  <c r="AE255" i="3" s="1"/>
  <c r="AB254" i="3"/>
  <c r="AA254" i="3"/>
  <c r="Z254" i="3"/>
  <c r="Y254" i="3"/>
  <c r="AC254" i="3" s="1"/>
  <c r="AD254" i="3" s="1"/>
  <c r="AE254" i="3" s="1"/>
  <c r="AB253" i="3"/>
  <c r="AA253" i="3"/>
  <c r="Z253" i="3"/>
  <c r="Y253" i="3"/>
  <c r="AC253" i="3" s="1"/>
  <c r="AD253" i="3" s="1"/>
  <c r="AE253" i="3" s="1"/>
  <c r="AB252" i="3"/>
  <c r="AA252" i="3"/>
  <c r="Z252" i="3"/>
  <c r="Y252" i="3"/>
  <c r="AC252" i="3" s="1"/>
  <c r="AD252" i="3" s="1"/>
  <c r="AE252" i="3" s="1"/>
  <c r="AB251" i="3"/>
  <c r="AA251" i="3"/>
  <c r="Z251" i="3"/>
  <c r="Y251" i="3"/>
  <c r="AC251" i="3" s="1"/>
  <c r="AD251" i="3" s="1"/>
  <c r="AE251" i="3" s="1"/>
  <c r="AB250" i="3"/>
  <c r="AA250" i="3"/>
  <c r="Z250" i="3"/>
  <c r="Y250" i="3"/>
  <c r="AC250" i="3" s="1"/>
  <c r="AD250" i="3" s="1"/>
  <c r="AE250" i="3" s="1"/>
  <c r="AB249" i="3"/>
  <c r="AA249" i="3"/>
  <c r="Z249" i="3"/>
  <c r="Y249" i="3"/>
  <c r="AC249" i="3" s="1"/>
  <c r="AD249" i="3" s="1"/>
  <c r="AE249" i="3" s="1"/>
  <c r="AB248" i="3"/>
  <c r="AA248" i="3"/>
  <c r="Z248" i="3"/>
  <c r="Y248" i="3"/>
  <c r="AC248" i="3" s="1"/>
  <c r="AD248" i="3" s="1"/>
  <c r="AE248" i="3" s="1"/>
  <c r="AB247" i="3"/>
  <c r="AA247" i="3"/>
  <c r="Z247" i="3"/>
  <c r="Y247" i="3"/>
  <c r="AC247" i="3" s="1"/>
  <c r="AD247" i="3" s="1"/>
  <c r="AE247" i="3" s="1"/>
  <c r="AB246" i="3"/>
  <c r="AA246" i="3"/>
  <c r="Z246" i="3"/>
  <c r="Y246" i="3"/>
  <c r="AC246" i="3" s="1"/>
  <c r="AD246" i="3" s="1"/>
  <c r="AE246" i="3" s="1"/>
  <c r="AB245" i="3"/>
  <c r="AA245" i="3"/>
  <c r="Z245" i="3"/>
  <c r="Y245" i="3"/>
  <c r="AB244" i="3"/>
  <c r="AA244" i="3"/>
  <c r="Z244" i="3"/>
  <c r="Y244" i="3"/>
  <c r="AC244" i="3" s="1"/>
  <c r="AD244" i="3" s="1"/>
  <c r="AE244" i="3" s="1"/>
  <c r="AB243" i="3"/>
  <c r="AA243" i="3"/>
  <c r="Z243" i="3"/>
  <c r="Y243" i="3"/>
  <c r="AC243" i="3" s="1"/>
  <c r="AD243" i="3" s="1"/>
  <c r="AE243" i="3" s="1"/>
  <c r="AB242" i="3"/>
  <c r="AA242" i="3"/>
  <c r="Z242" i="3"/>
  <c r="Y242" i="3"/>
  <c r="AC242" i="3" s="1"/>
  <c r="AD242" i="3" s="1"/>
  <c r="AB241" i="3"/>
  <c r="AA241" i="3"/>
  <c r="Z241" i="3"/>
  <c r="Y241" i="3"/>
  <c r="AC241" i="3" s="1"/>
  <c r="AD241" i="3" s="1"/>
  <c r="AE241" i="3" s="1"/>
  <c r="AB240" i="3"/>
  <c r="AA240" i="3"/>
  <c r="Z240" i="3"/>
  <c r="Y240" i="3"/>
  <c r="AC240" i="3" s="1"/>
  <c r="AD240" i="3" s="1"/>
  <c r="AE240" i="3" s="1"/>
  <c r="AB239" i="3"/>
  <c r="AA239" i="3"/>
  <c r="Z239" i="3"/>
  <c r="Y239" i="3"/>
  <c r="AC239" i="3" s="1"/>
  <c r="AD239" i="3" s="1"/>
  <c r="AE239" i="3" s="1"/>
  <c r="AB238" i="3"/>
  <c r="AA238" i="3"/>
  <c r="Z238" i="3"/>
  <c r="Y238" i="3"/>
  <c r="AC238" i="3" s="1"/>
  <c r="AD238" i="3" s="1"/>
  <c r="AE238" i="3" s="1"/>
  <c r="AB237" i="3"/>
  <c r="AA237" i="3"/>
  <c r="Z237" i="3"/>
  <c r="Y237" i="3"/>
  <c r="AC237" i="3" s="1"/>
  <c r="AD237" i="3" s="1"/>
  <c r="AE237" i="3" s="1"/>
  <c r="AB236" i="3"/>
  <c r="AA236" i="3"/>
  <c r="Z236" i="3"/>
  <c r="Y236" i="3"/>
  <c r="AC236" i="3" s="1"/>
  <c r="AD236" i="3" s="1"/>
  <c r="AE236" i="3" s="1"/>
  <c r="AB235" i="3"/>
  <c r="AA235" i="3"/>
  <c r="Z235" i="3"/>
  <c r="Y235" i="3"/>
  <c r="AC235" i="3" s="1"/>
  <c r="AD235" i="3" s="1"/>
  <c r="AE235" i="3" s="1"/>
  <c r="AB234" i="3"/>
  <c r="AA234" i="3"/>
  <c r="Z234" i="3"/>
  <c r="Y234" i="3"/>
  <c r="AC234" i="3" s="1"/>
  <c r="AD234" i="3" s="1"/>
  <c r="AE234" i="3" s="1"/>
  <c r="AB233" i="3"/>
  <c r="AA233" i="3"/>
  <c r="Z233" i="3"/>
  <c r="Y233" i="3"/>
  <c r="AC233" i="3" s="1"/>
  <c r="AD233" i="3" s="1"/>
  <c r="AE233" i="3" s="1"/>
  <c r="AB232" i="3"/>
  <c r="AA232" i="3"/>
  <c r="Z232" i="3"/>
  <c r="Y232" i="3"/>
  <c r="AC232" i="3" s="1"/>
  <c r="AD232" i="3" s="1"/>
  <c r="AE232" i="3" s="1"/>
  <c r="AB231" i="3"/>
  <c r="AA231" i="3"/>
  <c r="Z231" i="3"/>
  <c r="Y231" i="3"/>
  <c r="AC231" i="3" s="1"/>
  <c r="AD231" i="3" s="1"/>
  <c r="AE231" i="3" s="1"/>
  <c r="AB230" i="3"/>
  <c r="AA230" i="3"/>
  <c r="Z230" i="3"/>
  <c r="Y230" i="3"/>
  <c r="AC230" i="3" s="1"/>
  <c r="AD230" i="3" s="1"/>
  <c r="AE230" i="3" s="1"/>
  <c r="AB229" i="3"/>
  <c r="AA229" i="3"/>
  <c r="Z229" i="3"/>
  <c r="Y229" i="3"/>
  <c r="AC229" i="3" s="1"/>
  <c r="AD229" i="3" s="1"/>
  <c r="AE229" i="3" s="1"/>
  <c r="AB228" i="3"/>
  <c r="AA228" i="3"/>
  <c r="Z228" i="3"/>
  <c r="Y228" i="3"/>
  <c r="AC228" i="3" s="1"/>
  <c r="AD228" i="3" s="1"/>
  <c r="AE228" i="3" s="1"/>
  <c r="AB227" i="3"/>
  <c r="AA227" i="3"/>
  <c r="Z227" i="3"/>
  <c r="Y227" i="3"/>
  <c r="AC227" i="3" s="1"/>
  <c r="AD227" i="3" s="1"/>
  <c r="AB226" i="3"/>
  <c r="AA226" i="3"/>
  <c r="Z226" i="3"/>
  <c r="Y226" i="3"/>
  <c r="AC226" i="3" s="1"/>
  <c r="AD226" i="3" s="1"/>
  <c r="AE226" i="3" s="1"/>
  <c r="AB225" i="3"/>
  <c r="AA225" i="3"/>
  <c r="Z225" i="3"/>
  <c r="Y225" i="3"/>
  <c r="AC225" i="3" s="1"/>
  <c r="AD225" i="3" s="1"/>
  <c r="AE225" i="3" s="1"/>
  <c r="AB224" i="3"/>
  <c r="AA224" i="3"/>
  <c r="Z224" i="3"/>
  <c r="Y224" i="3"/>
  <c r="AC224" i="3" s="1"/>
  <c r="AD224" i="3" s="1"/>
  <c r="AE224" i="3" s="1"/>
  <c r="AB223" i="3"/>
  <c r="AA223" i="3"/>
  <c r="Z223" i="3"/>
  <c r="Y223" i="3"/>
  <c r="AC223" i="3" s="1"/>
  <c r="AD223" i="3" s="1"/>
  <c r="AE223" i="3" s="1"/>
  <c r="AB222" i="3"/>
  <c r="AA222" i="3"/>
  <c r="Z222" i="3"/>
  <c r="Y222" i="3"/>
  <c r="AC222" i="3" s="1"/>
  <c r="AD222" i="3" s="1"/>
  <c r="AE222" i="3" s="1"/>
  <c r="AB221" i="3"/>
  <c r="AA221" i="3"/>
  <c r="Z221" i="3"/>
  <c r="Y221" i="3"/>
  <c r="AC221" i="3" s="1"/>
  <c r="AD221" i="3" s="1"/>
  <c r="AE221" i="3" s="1"/>
  <c r="AB220" i="3"/>
  <c r="AA220" i="3"/>
  <c r="Z220" i="3"/>
  <c r="Y220" i="3"/>
  <c r="AC220" i="3" s="1"/>
  <c r="AD220" i="3" s="1"/>
  <c r="AE220" i="3" s="1"/>
  <c r="AB219" i="3"/>
  <c r="AA219" i="3"/>
  <c r="Z219" i="3"/>
  <c r="Y219" i="3"/>
  <c r="AC219" i="3" s="1"/>
  <c r="AD219" i="3" s="1"/>
  <c r="AE219" i="3" s="1"/>
  <c r="AB218" i="3"/>
  <c r="AA218" i="3"/>
  <c r="Z218" i="3"/>
  <c r="Y218" i="3"/>
  <c r="AC218" i="3" s="1"/>
  <c r="AD218" i="3" s="1"/>
  <c r="AE218" i="3" s="1"/>
  <c r="AB217" i="3"/>
  <c r="AA217" i="3"/>
  <c r="Z217" i="3"/>
  <c r="Y217" i="3"/>
  <c r="AC217" i="3" s="1"/>
  <c r="AD217" i="3" s="1"/>
  <c r="AE217" i="3" s="1"/>
  <c r="AB216" i="3"/>
  <c r="AA216" i="3"/>
  <c r="Z216" i="3"/>
  <c r="Y216" i="3"/>
  <c r="AC216" i="3" s="1"/>
  <c r="AD216" i="3" s="1"/>
  <c r="AE216" i="3" s="1"/>
  <c r="AB215" i="3"/>
  <c r="AA215" i="3"/>
  <c r="Z215" i="3"/>
  <c r="Y215" i="3"/>
  <c r="AC215" i="3" s="1"/>
  <c r="AD215" i="3" s="1"/>
  <c r="AE215" i="3" s="1"/>
  <c r="AB214" i="3"/>
  <c r="AA214" i="3"/>
  <c r="Z214" i="3"/>
  <c r="Y214" i="3"/>
  <c r="AC214" i="3" s="1"/>
  <c r="AD214" i="3" s="1"/>
  <c r="AE214" i="3" s="1"/>
  <c r="AB213" i="3"/>
  <c r="AA213" i="3"/>
  <c r="Z213" i="3"/>
  <c r="Y213" i="3"/>
  <c r="AC213" i="3" s="1"/>
  <c r="AD213" i="3" s="1"/>
  <c r="AE213" i="3" s="1"/>
  <c r="AB212" i="3"/>
  <c r="AA212" i="3"/>
  <c r="Z212" i="3"/>
  <c r="Y212" i="3"/>
  <c r="AC212" i="3" s="1"/>
  <c r="AD212" i="3" s="1"/>
  <c r="AB211" i="3"/>
  <c r="AA211" i="3"/>
  <c r="Z211" i="3"/>
  <c r="Y211" i="3"/>
  <c r="AC211" i="3" s="1"/>
  <c r="AD211" i="3" s="1"/>
  <c r="AE211" i="3" s="1"/>
  <c r="AB210" i="3"/>
  <c r="AA210" i="3"/>
  <c r="Z210" i="3"/>
  <c r="Y210" i="3"/>
  <c r="AC210" i="3" s="1"/>
  <c r="AD210" i="3" s="1"/>
  <c r="AE210" i="3" s="1"/>
  <c r="AB209" i="3"/>
  <c r="AA209" i="3"/>
  <c r="Z209" i="3"/>
  <c r="Y209" i="3"/>
  <c r="AC209" i="3" s="1"/>
  <c r="AD209" i="3" s="1"/>
  <c r="AE209" i="3" s="1"/>
  <c r="AB208" i="3"/>
  <c r="AA208" i="3"/>
  <c r="Z208" i="3"/>
  <c r="Y208" i="3"/>
  <c r="AC208" i="3" s="1"/>
  <c r="AD208" i="3" s="1"/>
  <c r="AE208" i="3" s="1"/>
  <c r="AB207" i="3"/>
  <c r="AA207" i="3"/>
  <c r="Z207" i="3"/>
  <c r="Y207" i="3"/>
  <c r="AC207" i="3" s="1"/>
  <c r="AD207" i="3" s="1"/>
  <c r="AE207" i="3" s="1"/>
  <c r="AB206" i="3"/>
  <c r="AA206" i="3"/>
  <c r="Z206" i="3"/>
  <c r="Y206" i="3"/>
  <c r="AC206" i="3" s="1"/>
  <c r="AD206" i="3" s="1"/>
  <c r="AE206" i="3" s="1"/>
  <c r="AB205" i="3"/>
  <c r="AA205" i="3"/>
  <c r="Z205" i="3"/>
  <c r="Y205" i="3"/>
  <c r="AC205" i="3" s="1"/>
  <c r="AD205" i="3" s="1"/>
  <c r="AE205" i="3" s="1"/>
  <c r="AB204" i="3"/>
  <c r="AA204" i="3"/>
  <c r="Z204" i="3"/>
  <c r="Y204" i="3"/>
  <c r="AC204" i="3" s="1"/>
  <c r="AD204" i="3" s="1"/>
  <c r="AE204" i="3" s="1"/>
  <c r="AB203" i="3"/>
  <c r="AA203" i="3"/>
  <c r="Z203" i="3"/>
  <c r="Y203" i="3"/>
  <c r="AC203" i="3" s="1"/>
  <c r="AD203" i="3" s="1"/>
  <c r="AE203" i="3" s="1"/>
  <c r="AB202" i="3"/>
  <c r="AA202" i="3"/>
  <c r="Z202" i="3"/>
  <c r="Y202" i="3"/>
  <c r="AC202" i="3" s="1"/>
  <c r="AD202" i="3" s="1"/>
  <c r="AE202" i="3" s="1"/>
  <c r="AB201" i="3"/>
  <c r="AA201" i="3"/>
  <c r="Z201" i="3"/>
  <c r="Y201" i="3"/>
  <c r="AC201" i="3" s="1"/>
  <c r="AD201" i="3" s="1"/>
  <c r="AE201" i="3" s="1"/>
  <c r="AB200" i="3"/>
  <c r="AA200" i="3"/>
  <c r="Z200" i="3"/>
  <c r="Y200" i="3"/>
  <c r="AC200" i="3" s="1"/>
  <c r="AD200" i="3" s="1"/>
  <c r="AE200" i="3" s="1"/>
  <c r="AB199" i="3"/>
  <c r="AA199" i="3"/>
  <c r="Z199" i="3"/>
  <c r="Y199" i="3"/>
  <c r="AC199" i="3" s="1"/>
  <c r="AD199" i="3" s="1"/>
  <c r="AE199" i="3" s="1"/>
  <c r="AB198" i="3"/>
  <c r="AA198" i="3"/>
  <c r="Z198" i="3"/>
  <c r="Y198" i="3"/>
  <c r="AC198" i="3" s="1"/>
  <c r="AD198" i="3" s="1"/>
  <c r="AE198" i="3" s="1"/>
  <c r="AB197" i="3"/>
  <c r="AA197" i="3"/>
  <c r="Z197" i="3"/>
  <c r="Y197" i="3"/>
  <c r="AC197" i="3" s="1"/>
  <c r="AD197" i="3" s="1"/>
  <c r="AB196" i="3"/>
  <c r="AA196" i="3"/>
  <c r="Z196" i="3"/>
  <c r="Y196" i="3"/>
  <c r="AC196" i="3" s="1"/>
  <c r="AD196" i="3" s="1"/>
  <c r="AE196" i="3" s="1"/>
  <c r="AB195" i="3"/>
  <c r="AA195" i="3"/>
  <c r="Z195" i="3"/>
  <c r="Y195" i="3"/>
  <c r="AC195" i="3" s="1"/>
  <c r="AD195" i="3" s="1"/>
  <c r="AE195" i="3" s="1"/>
  <c r="AB194" i="3"/>
  <c r="AA194" i="3"/>
  <c r="Z194" i="3"/>
  <c r="Y194" i="3"/>
  <c r="AC194" i="3" s="1"/>
  <c r="AD194" i="3" s="1"/>
  <c r="AE194" i="3" s="1"/>
  <c r="AB193" i="3"/>
  <c r="AA193" i="3"/>
  <c r="Z193" i="3"/>
  <c r="Y193" i="3"/>
  <c r="AC193" i="3" s="1"/>
  <c r="AD193" i="3" s="1"/>
  <c r="AE193" i="3" s="1"/>
  <c r="AB192" i="3"/>
  <c r="AA192" i="3"/>
  <c r="Z192" i="3"/>
  <c r="Y192" i="3"/>
  <c r="AC192" i="3" s="1"/>
  <c r="AD192" i="3" s="1"/>
  <c r="AE192" i="3" s="1"/>
  <c r="AB191" i="3"/>
  <c r="AA191" i="3"/>
  <c r="Z191" i="3"/>
  <c r="Y191" i="3"/>
  <c r="AC191" i="3" s="1"/>
  <c r="AD191" i="3" s="1"/>
  <c r="AE191" i="3" s="1"/>
  <c r="AB190" i="3"/>
  <c r="AA190" i="3"/>
  <c r="Z190" i="3"/>
  <c r="Y190" i="3"/>
  <c r="AC190" i="3" s="1"/>
  <c r="AD190" i="3" s="1"/>
  <c r="AE190" i="3" s="1"/>
  <c r="AB189" i="3"/>
  <c r="AA189" i="3"/>
  <c r="Z189" i="3"/>
  <c r="Y189" i="3"/>
  <c r="AC189" i="3" s="1"/>
  <c r="AD189" i="3" s="1"/>
  <c r="AE189" i="3" s="1"/>
  <c r="AB188" i="3"/>
  <c r="AA188" i="3"/>
  <c r="Z188" i="3"/>
  <c r="Y188" i="3"/>
  <c r="AC188" i="3" s="1"/>
  <c r="AD188" i="3" s="1"/>
  <c r="AE188" i="3" s="1"/>
  <c r="AB187" i="3"/>
  <c r="AA187" i="3"/>
  <c r="Z187" i="3"/>
  <c r="Y187" i="3"/>
  <c r="AC187" i="3" s="1"/>
  <c r="AD187" i="3" s="1"/>
  <c r="AE187" i="3" s="1"/>
  <c r="AB186" i="3"/>
  <c r="AA186" i="3"/>
  <c r="Z186" i="3"/>
  <c r="Y186" i="3"/>
  <c r="AC186" i="3" s="1"/>
  <c r="AD186" i="3" s="1"/>
  <c r="AE186" i="3" s="1"/>
  <c r="AB185" i="3"/>
  <c r="AA185" i="3"/>
  <c r="Z185" i="3"/>
  <c r="Y185" i="3"/>
  <c r="AC185" i="3" s="1"/>
  <c r="AD185" i="3" s="1"/>
  <c r="AE185" i="3" s="1"/>
  <c r="AB184" i="3"/>
  <c r="AA184" i="3"/>
  <c r="Z184" i="3"/>
  <c r="Y184" i="3"/>
  <c r="AC184" i="3" s="1"/>
  <c r="AD184" i="3" s="1"/>
  <c r="AE184" i="3" s="1"/>
  <c r="AB183" i="3"/>
  <c r="AA183" i="3"/>
  <c r="Z183" i="3"/>
  <c r="Y183" i="3"/>
  <c r="AC183" i="3" s="1"/>
  <c r="AD183" i="3" s="1"/>
  <c r="AE183" i="3" s="1"/>
  <c r="AB182" i="3"/>
  <c r="AA182" i="3"/>
  <c r="Z182" i="3"/>
  <c r="Y182" i="3"/>
  <c r="AC182" i="3" s="1"/>
  <c r="AD182" i="3" s="1"/>
  <c r="AB181" i="3"/>
  <c r="AA181" i="3"/>
  <c r="Z181" i="3"/>
  <c r="Y181" i="3"/>
  <c r="AC181" i="3" s="1"/>
  <c r="AD181" i="3" s="1"/>
  <c r="AE181" i="3" s="1"/>
  <c r="AB180" i="3"/>
  <c r="AA180" i="3"/>
  <c r="Z180" i="3"/>
  <c r="Y180" i="3"/>
  <c r="AC180" i="3" s="1"/>
  <c r="AD180" i="3" s="1"/>
  <c r="AE180" i="3" s="1"/>
  <c r="AB179" i="3"/>
  <c r="AA179" i="3"/>
  <c r="Z179" i="3"/>
  <c r="Y179" i="3"/>
  <c r="AC179" i="3" s="1"/>
  <c r="AD179" i="3" s="1"/>
  <c r="AE179" i="3" s="1"/>
  <c r="AB178" i="3"/>
  <c r="AA178" i="3"/>
  <c r="Z178" i="3"/>
  <c r="Y178" i="3"/>
  <c r="AC178" i="3" s="1"/>
  <c r="AD178" i="3" s="1"/>
  <c r="AE178" i="3" s="1"/>
  <c r="AB177" i="3"/>
  <c r="AA177" i="3"/>
  <c r="Z177" i="3"/>
  <c r="Y177" i="3"/>
  <c r="AC177" i="3" s="1"/>
  <c r="AD177" i="3" s="1"/>
  <c r="AE177" i="3" s="1"/>
  <c r="AB176" i="3"/>
  <c r="AA176" i="3"/>
  <c r="Z176" i="3"/>
  <c r="Y176" i="3"/>
  <c r="AC176" i="3" s="1"/>
  <c r="AD176" i="3" s="1"/>
  <c r="AE176" i="3" s="1"/>
  <c r="AB175" i="3"/>
  <c r="AA175" i="3"/>
  <c r="Z175" i="3"/>
  <c r="Y175" i="3"/>
  <c r="AC175" i="3" s="1"/>
  <c r="AD175" i="3" s="1"/>
  <c r="AE175" i="3" s="1"/>
  <c r="AB174" i="3"/>
  <c r="AA174" i="3"/>
  <c r="Z174" i="3"/>
  <c r="Y174" i="3"/>
  <c r="AC174" i="3" s="1"/>
  <c r="AD174" i="3" s="1"/>
  <c r="AE174" i="3" s="1"/>
  <c r="AB173" i="3"/>
  <c r="AA173" i="3"/>
  <c r="Z173" i="3"/>
  <c r="Y173" i="3"/>
  <c r="AC173" i="3" s="1"/>
  <c r="AD173" i="3" s="1"/>
  <c r="AE173" i="3" s="1"/>
  <c r="AB172" i="3"/>
  <c r="AA172" i="3"/>
  <c r="Z172" i="3"/>
  <c r="Y172" i="3"/>
  <c r="AC172" i="3" s="1"/>
  <c r="AD172" i="3" s="1"/>
  <c r="AE172" i="3" s="1"/>
  <c r="AB171" i="3"/>
  <c r="AA171" i="3"/>
  <c r="Z171" i="3"/>
  <c r="Y171" i="3"/>
  <c r="AC171" i="3" s="1"/>
  <c r="AD171" i="3" s="1"/>
  <c r="AE171" i="3" s="1"/>
  <c r="AB170" i="3"/>
  <c r="AA170" i="3"/>
  <c r="Z170" i="3"/>
  <c r="Y170" i="3"/>
  <c r="AC170" i="3" s="1"/>
  <c r="AD170" i="3" s="1"/>
  <c r="AE170" i="3" s="1"/>
  <c r="AB169" i="3"/>
  <c r="AA169" i="3"/>
  <c r="Z169" i="3"/>
  <c r="Y169" i="3"/>
  <c r="AC169" i="3" s="1"/>
  <c r="AD169" i="3" s="1"/>
  <c r="AE169" i="3" s="1"/>
  <c r="AB168" i="3"/>
  <c r="AA168" i="3"/>
  <c r="Z168" i="3"/>
  <c r="Y168" i="3"/>
  <c r="AC168" i="3" s="1"/>
  <c r="AD168" i="3" s="1"/>
  <c r="AE168" i="3" s="1"/>
  <c r="AB167" i="3"/>
  <c r="AA167" i="3"/>
  <c r="Z167" i="3"/>
  <c r="Y167" i="3"/>
  <c r="AC167" i="3" s="1"/>
  <c r="AD167" i="3" s="1"/>
  <c r="AB166" i="3"/>
  <c r="AA166" i="3"/>
  <c r="Z166" i="3"/>
  <c r="Y166" i="3"/>
  <c r="AC166" i="3" s="1"/>
  <c r="AD166" i="3" s="1"/>
  <c r="AE166" i="3" s="1"/>
  <c r="AB165" i="3"/>
  <c r="AA165" i="3"/>
  <c r="Z165" i="3"/>
  <c r="Y165" i="3"/>
  <c r="AC165" i="3" s="1"/>
  <c r="AD165" i="3" s="1"/>
  <c r="AE165" i="3" s="1"/>
  <c r="AB164" i="3"/>
  <c r="AA164" i="3"/>
  <c r="Z164" i="3"/>
  <c r="Y164" i="3"/>
  <c r="AC164" i="3" s="1"/>
  <c r="AD164" i="3" s="1"/>
  <c r="AE164" i="3" s="1"/>
  <c r="AB163" i="3"/>
  <c r="AA163" i="3"/>
  <c r="Z163" i="3"/>
  <c r="Y163" i="3"/>
  <c r="AC163" i="3" s="1"/>
  <c r="AD163" i="3" s="1"/>
  <c r="AE163" i="3" s="1"/>
  <c r="AB162" i="3"/>
  <c r="AA162" i="3"/>
  <c r="Z162" i="3"/>
  <c r="Y162" i="3"/>
  <c r="AC162" i="3" s="1"/>
  <c r="AD162" i="3" s="1"/>
  <c r="AE162" i="3" s="1"/>
  <c r="AB161" i="3"/>
  <c r="AA161" i="3"/>
  <c r="Z161" i="3"/>
  <c r="Y161" i="3"/>
  <c r="AC161" i="3" s="1"/>
  <c r="AD161" i="3" s="1"/>
  <c r="AE161" i="3" s="1"/>
  <c r="AB160" i="3"/>
  <c r="AA160" i="3"/>
  <c r="Z160" i="3"/>
  <c r="Y160" i="3"/>
  <c r="AC160" i="3" s="1"/>
  <c r="AD160" i="3" s="1"/>
  <c r="AE160" i="3" s="1"/>
  <c r="AB159" i="3"/>
  <c r="AA159" i="3"/>
  <c r="Z159" i="3"/>
  <c r="Y159" i="3"/>
  <c r="AC159" i="3" s="1"/>
  <c r="AD159" i="3" s="1"/>
  <c r="AE159" i="3" s="1"/>
  <c r="AB158" i="3"/>
  <c r="AA158" i="3"/>
  <c r="Z158" i="3"/>
  <c r="Y158" i="3"/>
  <c r="AC158" i="3" s="1"/>
  <c r="AD158" i="3" s="1"/>
  <c r="AE158" i="3" s="1"/>
  <c r="AB157" i="3"/>
  <c r="AA157" i="3"/>
  <c r="Z157" i="3"/>
  <c r="Y157" i="3"/>
  <c r="AC157" i="3" s="1"/>
  <c r="AD157" i="3" s="1"/>
  <c r="AE157" i="3" s="1"/>
  <c r="AB156" i="3"/>
  <c r="AA156" i="3"/>
  <c r="Z156" i="3"/>
  <c r="Y156" i="3"/>
  <c r="AC156" i="3" s="1"/>
  <c r="AD156" i="3" s="1"/>
  <c r="AE156" i="3" s="1"/>
  <c r="AB155" i="3"/>
  <c r="AA155" i="3"/>
  <c r="Z155" i="3"/>
  <c r="Y155" i="3"/>
  <c r="AC155" i="3" s="1"/>
  <c r="AD155" i="3" s="1"/>
  <c r="AE155" i="3" s="1"/>
  <c r="AB154" i="3"/>
  <c r="AA154" i="3"/>
  <c r="Z154" i="3"/>
  <c r="Y154" i="3"/>
  <c r="AC154" i="3" s="1"/>
  <c r="AD154" i="3" s="1"/>
  <c r="AE154" i="3" s="1"/>
  <c r="AB153" i="3"/>
  <c r="AA153" i="3"/>
  <c r="Z153" i="3"/>
  <c r="Y153" i="3"/>
  <c r="AC153" i="3" s="1"/>
  <c r="AD153" i="3" s="1"/>
  <c r="AE153" i="3" s="1"/>
  <c r="AB152" i="3"/>
  <c r="AA152" i="3"/>
  <c r="Z152" i="3"/>
  <c r="Y152" i="3"/>
  <c r="AC152" i="3" s="1"/>
  <c r="AD152" i="3" s="1"/>
  <c r="AB151" i="3"/>
  <c r="AA151" i="3"/>
  <c r="Z151" i="3"/>
  <c r="Y151" i="3"/>
  <c r="AC151" i="3" s="1"/>
  <c r="AD151" i="3" s="1"/>
  <c r="AE151" i="3" s="1"/>
  <c r="AB150" i="3"/>
  <c r="AA150" i="3"/>
  <c r="Z150" i="3"/>
  <c r="Y150" i="3"/>
  <c r="AC150" i="3" s="1"/>
  <c r="AD150" i="3" s="1"/>
  <c r="AE150" i="3" s="1"/>
  <c r="AB149" i="3"/>
  <c r="AA149" i="3"/>
  <c r="Z149" i="3"/>
  <c r="Y149" i="3"/>
  <c r="AC149" i="3" s="1"/>
  <c r="AD149" i="3" s="1"/>
  <c r="AE149" i="3" s="1"/>
  <c r="AB148" i="3"/>
  <c r="AA148" i="3"/>
  <c r="Z148" i="3"/>
  <c r="Y148" i="3"/>
  <c r="AC148" i="3" s="1"/>
  <c r="AD148" i="3" s="1"/>
  <c r="AE148" i="3" s="1"/>
  <c r="AB147" i="3"/>
  <c r="AA147" i="3"/>
  <c r="Z147" i="3"/>
  <c r="Y147" i="3"/>
  <c r="AC147" i="3" s="1"/>
  <c r="AD147" i="3" s="1"/>
  <c r="AE147" i="3" s="1"/>
  <c r="AB146" i="3"/>
  <c r="AA146" i="3"/>
  <c r="Z146" i="3"/>
  <c r="Y146" i="3"/>
  <c r="AC146" i="3" s="1"/>
  <c r="AD146" i="3" s="1"/>
  <c r="AE146" i="3" s="1"/>
  <c r="AB145" i="3"/>
  <c r="AA145" i="3"/>
  <c r="Z145" i="3"/>
  <c r="Y145" i="3"/>
  <c r="AC145" i="3" s="1"/>
  <c r="AD145" i="3" s="1"/>
  <c r="AE145" i="3" s="1"/>
  <c r="AB144" i="3"/>
  <c r="AA144" i="3"/>
  <c r="Z144" i="3"/>
  <c r="Y144" i="3"/>
  <c r="AC144" i="3" s="1"/>
  <c r="AD144" i="3" s="1"/>
  <c r="AE144" i="3" s="1"/>
  <c r="AB143" i="3"/>
  <c r="AA143" i="3"/>
  <c r="Z143" i="3"/>
  <c r="Y143" i="3"/>
  <c r="AC143" i="3" s="1"/>
  <c r="AD143" i="3" s="1"/>
  <c r="AE143" i="3" s="1"/>
  <c r="AB142" i="3"/>
  <c r="AA142" i="3"/>
  <c r="Z142" i="3"/>
  <c r="Y142" i="3"/>
  <c r="AC142" i="3" s="1"/>
  <c r="AD142" i="3" s="1"/>
  <c r="AE142" i="3" s="1"/>
  <c r="AB141" i="3"/>
  <c r="AA141" i="3"/>
  <c r="Z141" i="3"/>
  <c r="Y141" i="3"/>
  <c r="AC141" i="3" s="1"/>
  <c r="AD141" i="3" s="1"/>
  <c r="AE141" i="3" s="1"/>
  <c r="AB140" i="3"/>
  <c r="AA140" i="3"/>
  <c r="Z140" i="3"/>
  <c r="Y140" i="3"/>
  <c r="AC140" i="3" s="1"/>
  <c r="AD140" i="3" s="1"/>
  <c r="AE140" i="3" s="1"/>
  <c r="AB139" i="3"/>
  <c r="AA139" i="3"/>
  <c r="Z139" i="3"/>
  <c r="Y139" i="3"/>
  <c r="AC139" i="3" s="1"/>
  <c r="AD139" i="3" s="1"/>
  <c r="AE139" i="3" s="1"/>
  <c r="AB138" i="3"/>
  <c r="AA138" i="3"/>
  <c r="Z138" i="3"/>
  <c r="Y138" i="3"/>
  <c r="AC138" i="3" s="1"/>
  <c r="AD138" i="3" s="1"/>
  <c r="AE138" i="3" s="1"/>
  <c r="AB137" i="3"/>
  <c r="AA137" i="3"/>
  <c r="Z137" i="3"/>
  <c r="Y137" i="3"/>
  <c r="AC137" i="3" s="1"/>
  <c r="AD137" i="3" s="1"/>
  <c r="AB136" i="3"/>
  <c r="AA136" i="3"/>
  <c r="Z136" i="3"/>
  <c r="Y136" i="3"/>
  <c r="AC136" i="3" s="1"/>
  <c r="AD136" i="3" s="1"/>
  <c r="AE136" i="3" s="1"/>
  <c r="AB135" i="3"/>
  <c r="AA135" i="3"/>
  <c r="Z135" i="3"/>
  <c r="Y135" i="3"/>
  <c r="AC135" i="3" s="1"/>
  <c r="AD135" i="3" s="1"/>
  <c r="AE135" i="3" s="1"/>
  <c r="AB134" i="3"/>
  <c r="AA134" i="3"/>
  <c r="Z134" i="3"/>
  <c r="Y134" i="3"/>
  <c r="AC134" i="3" s="1"/>
  <c r="AD134" i="3" s="1"/>
  <c r="AE134" i="3" s="1"/>
  <c r="AB133" i="3"/>
  <c r="AA133" i="3"/>
  <c r="Z133" i="3"/>
  <c r="Y133" i="3"/>
  <c r="AC133" i="3" s="1"/>
  <c r="AD133" i="3" s="1"/>
  <c r="AE133" i="3" s="1"/>
  <c r="AB132" i="3"/>
  <c r="AA132" i="3"/>
  <c r="Z132" i="3"/>
  <c r="Y132" i="3"/>
  <c r="AC132" i="3" s="1"/>
  <c r="AD132" i="3" s="1"/>
  <c r="AE132" i="3" s="1"/>
  <c r="AB131" i="3"/>
  <c r="AA131" i="3"/>
  <c r="Z131" i="3"/>
  <c r="Y131" i="3"/>
  <c r="AC131" i="3" s="1"/>
  <c r="AD131" i="3" s="1"/>
  <c r="AE131" i="3" s="1"/>
  <c r="AB130" i="3"/>
  <c r="AA130" i="3"/>
  <c r="Z130" i="3"/>
  <c r="Y130" i="3"/>
  <c r="AC130" i="3" s="1"/>
  <c r="AD130" i="3" s="1"/>
  <c r="AE130" i="3" s="1"/>
  <c r="AB129" i="3"/>
  <c r="AA129" i="3"/>
  <c r="Z129" i="3"/>
  <c r="Y129" i="3"/>
  <c r="AC129" i="3" s="1"/>
  <c r="AD129" i="3" s="1"/>
  <c r="AE129" i="3" s="1"/>
  <c r="AB128" i="3"/>
  <c r="AA128" i="3"/>
  <c r="Z128" i="3"/>
  <c r="Y128" i="3"/>
  <c r="AC128" i="3" s="1"/>
  <c r="AD128" i="3" s="1"/>
  <c r="AE128" i="3" s="1"/>
  <c r="AB127" i="3"/>
  <c r="AA127" i="3"/>
  <c r="Z127" i="3"/>
  <c r="Y127" i="3"/>
  <c r="AC127" i="3" s="1"/>
  <c r="AD127" i="3" s="1"/>
  <c r="AE127" i="3" s="1"/>
  <c r="AB126" i="3"/>
  <c r="AA126" i="3"/>
  <c r="Z126" i="3"/>
  <c r="Y126" i="3"/>
  <c r="AC126" i="3" s="1"/>
  <c r="AD126" i="3" s="1"/>
  <c r="AE126" i="3" s="1"/>
  <c r="AB125" i="3"/>
  <c r="AA125" i="3"/>
  <c r="Z125" i="3"/>
  <c r="Y125" i="3"/>
  <c r="AC125" i="3" s="1"/>
  <c r="AD125" i="3" s="1"/>
  <c r="AE125" i="3" s="1"/>
  <c r="AB124" i="3"/>
  <c r="AA124" i="3"/>
  <c r="Z124" i="3"/>
  <c r="Y124" i="3"/>
  <c r="AC124" i="3" s="1"/>
  <c r="AD124" i="3" s="1"/>
  <c r="AE124" i="3" s="1"/>
  <c r="AB123" i="3"/>
  <c r="AA123" i="3"/>
  <c r="Z123" i="3"/>
  <c r="Y123" i="3"/>
  <c r="AC123" i="3" s="1"/>
  <c r="AD123" i="3" s="1"/>
  <c r="AE123" i="3" s="1"/>
  <c r="AB122" i="3"/>
  <c r="AA122" i="3"/>
  <c r="Z122" i="3"/>
  <c r="Y122" i="3"/>
  <c r="AC122" i="3" s="1"/>
  <c r="AD122" i="3" s="1"/>
  <c r="AB121" i="3"/>
  <c r="AA121" i="3"/>
  <c r="Z121" i="3"/>
  <c r="Y121" i="3"/>
  <c r="AC121" i="3" s="1"/>
  <c r="AD121" i="3" s="1"/>
  <c r="AE121" i="3" s="1"/>
  <c r="AB120" i="3"/>
  <c r="AA120" i="3"/>
  <c r="Z120" i="3"/>
  <c r="Y120" i="3"/>
  <c r="AB119" i="3"/>
  <c r="AA119" i="3"/>
  <c r="Z119" i="3"/>
  <c r="Y119" i="3"/>
  <c r="AC119" i="3" s="1"/>
  <c r="AD119" i="3" s="1"/>
  <c r="AE119" i="3" s="1"/>
  <c r="AB118" i="3"/>
  <c r="AA118" i="3"/>
  <c r="Z118" i="3"/>
  <c r="Y118" i="3"/>
  <c r="AC118" i="3" s="1"/>
  <c r="AD118" i="3" s="1"/>
  <c r="AE118" i="3" s="1"/>
  <c r="AB117" i="3"/>
  <c r="AA117" i="3"/>
  <c r="Z117" i="3"/>
  <c r="Y117" i="3"/>
  <c r="AC117" i="3" s="1"/>
  <c r="AD117" i="3" s="1"/>
  <c r="AE117" i="3" s="1"/>
  <c r="AB116" i="3"/>
  <c r="AA116" i="3"/>
  <c r="Z116" i="3"/>
  <c r="Y116" i="3"/>
  <c r="AC116" i="3" s="1"/>
  <c r="AD116" i="3" s="1"/>
  <c r="AE116" i="3" s="1"/>
  <c r="AB115" i="3"/>
  <c r="AA115" i="3"/>
  <c r="Z115" i="3"/>
  <c r="Y115" i="3"/>
  <c r="AC115" i="3" s="1"/>
  <c r="AD115" i="3" s="1"/>
  <c r="AE115" i="3" s="1"/>
  <c r="AB114" i="3"/>
  <c r="AA114" i="3"/>
  <c r="Z114" i="3"/>
  <c r="Y114" i="3"/>
  <c r="AC114" i="3" s="1"/>
  <c r="AD114" i="3" s="1"/>
  <c r="AE114" i="3" s="1"/>
  <c r="AB113" i="3"/>
  <c r="AA113" i="3"/>
  <c r="Z113" i="3"/>
  <c r="Y113" i="3"/>
  <c r="AC113" i="3" s="1"/>
  <c r="AD113" i="3" s="1"/>
  <c r="AE113" i="3" s="1"/>
  <c r="AB112" i="3"/>
  <c r="AA112" i="3"/>
  <c r="Z112" i="3"/>
  <c r="Y112" i="3"/>
  <c r="AC112" i="3" s="1"/>
  <c r="AD112" i="3" s="1"/>
  <c r="AE112" i="3" s="1"/>
  <c r="AB111" i="3"/>
  <c r="AA111" i="3"/>
  <c r="Z111" i="3"/>
  <c r="Y111" i="3"/>
  <c r="AC111" i="3" s="1"/>
  <c r="AD111" i="3" s="1"/>
  <c r="AE111" i="3" s="1"/>
  <c r="AB110" i="3"/>
  <c r="AA110" i="3"/>
  <c r="Z110" i="3"/>
  <c r="Y110" i="3"/>
  <c r="AC110" i="3" s="1"/>
  <c r="AD110" i="3" s="1"/>
  <c r="AE110" i="3" s="1"/>
  <c r="AB109" i="3"/>
  <c r="AA109" i="3"/>
  <c r="Z109" i="3"/>
  <c r="Y109" i="3"/>
  <c r="AC109" i="3" s="1"/>
  <c r="AD109" i="3" s="1"/>
  <c r="AE109" i="3" s="1"/>
  <c r="AB108" i="3"/>
  <c r="AA108" i="3"/>
  <c r="Z108" i="3"/>
  <c r="Y108" i="3"/>
  <c r="AC108" i="3" s="1"/>
  <c r="AD108" i="3" s="1"/>
  <c r="AE108" i="3" s="1"/>
  <c r="AB107" i="3"/>
  <c r="AA107" i="3"/>
  <c r="Z107" i="3"/>
  <c r="Y107" i="3"/>
  <c r="AC107" i="3" s="1"/>
  <c r="AD107" i="3" s="1"/>
  <c r="AB106" i="3"/>
  <c r="AA106" i="3"/>
  <c r="Z106" i="3"/>
  <c r="Y106" i="3"/>
  <c r="AC106" i="3" s="1"/>
  <c r="AD106" i="3" s="1"/>
  <c r="AE106" i="3" s="1"/>
  <c r="AB105" i="3"/>
  <c r="AA105" i="3"/>
  <c r="Z105" i="3"/>
  <c r="Y105" i="3"/>
  <c r="AC105" i="3" s="1"/>
  <c r="AD105" i="3" s="1"/>
  <c r="AE105" i="3" s="1"/>
  <c r="AB104" i="3"/>
  <c r="AA104" i="3"/>
  <c r="Z104" i="3"/>
  <c r="Y104" i="3"/>
  <c r="AC104" i="3" s="1"/>
  <c r="AD104" i="3" s="1"/>
  <c r="AE104" i="3" s="1"/>
  <c r="AB103" i="3"/>
  <c r="AA103" i="3"/>
  <c r="Z103" i="3"/>
  <c r="Y103" i="3"/>
  <c r="AC103" i="3" s="1"/>
  <c r="AD103" i="3" s="1"/>
  <c r="AE103" i="3" s="1"/>
  <c r="AB102" i="3"/>
  <c r="AA102" i="3"/>
  <c r="Z102" i="3"/>
  <c r="Y102" i="3"/>
  <c r="AC102" i="3" s="1"/>
  <c r="AD102" i="3" s="1"/>
  <c r="AE102" i="3" s="1"/>
  <c r="AB101" i="3"/>
  <c r="AA101" i="3"/>
  <c r="Z101" i="3"/>
  <c r="Y101" i="3"/>
  <c r="AC101" i="3" s="1"/>
  <c r="AD101" i="3" s="1"/>
  <c r="AE101" i="3" s="1"/>
  <c r="AB100" i="3"/>
  <c r="F13" i="6" s="1"/>
  <c r="AA100" i="3"/>
  <c r="Z100" i="3"/>
  <c r="Y100" i="3"/>
  <c r="AC100" i="3" s="1"/>
  <c r="AD100" i="3" s="1"/>
  <c r="AE100" i="3" s="1"/>
  <c r="AB99" i="3"/>
  <c r="AA99" i="3"/>
  <c r="Z99" i="3"/>
  <c r="Y99" i="3"/>
  <c r="AC99" i="3" s="1"/>
  <c r="AD99" i="3" s="1"/>
  <c r="AE99" i="3" s="1"/>
  <c r="AB98" i="3"/>
  <c r="AA98" i="3"/>
  <c r="Z98" i="3"/>
  <c r="Y98" i="3"/>
  <c r="AC98" i="3" s="1"/>
  <c r="AD98" i="3" s="1"/>
  <c r="AE98" i="3" s="1"/>
  <c r="AB97" i="3"/>
  <c r="AA97" i="3"/>
  <c r="Z97" i="3"/>
  <c r="Y97" i="3"/>
  <c r="AC97" i="3" s="1"/>
  <c r="AD97" i="3" s="1"/>
  <c r="AE97" i="3" s="1"/>
  <c r="AB96" i="3"/>
  <c r="AA96" i="3"/>
  <c r="Z96" i="3"/>
  <c r="Y96" i="3"/>
  <c r="AC96" i="3" s="1"/>
  <c r="AD96" i="3" s="1"/>
  <c r="AE96" i="3" s="1"/>
  <c r="AB95" i="3"/>
  <c r="AA95" i="3"/>
  <c r="Z95" i="3"/>
  <c r="Y95" i="3"/>
  <c r="AC95" i="3" s="1"/>
  <c r="AD95" i="3" s="1"/>
  <c r="AE95" i="3" s="1"/>
  <c r="AB94" i="3"/>
  <c r="AA94" i="3"/>
  <c r="Z94" i="3"/>
  <c r="Y94" i="3"/>
  <c r="AC94" i="3" s="1"/>
  <c r="AD94" i="3" s="1"/>
  <c r="AE94" i="3" s="1"/>
  <c r="AB93" i="3"/>
  <c r="AA93" i="3"/>
  <c r="Z93" i="3"/>
  <c r="Y93" i="3"/>
  <c r="AC93" i="3" s="1"/>
  <c r="AD93" i="3" s="1"/>
  <c r="AE93" i="3" s="1"/>
  <c r="AB92" i="3"/>
  <c r="AA92" i="3"/>
  <c r="Z92" i="3"/>
  <c r="Y92" i="3"/>
  <c r="AC92" i="3" s="1"/>
  <c r="AD92" i="3" s="1"/>
  <c r="AB91" i="3"/>
  <c r="AA91" i="3"/>
  <c r="Z91" i="3"/>
  <c r="Y91" i="3"/>
  <c r="AC91" i="3" s="1"/>
  <c r="AD91" i="3" s="1"/>
  <c r="AE91" i="3" s="1"/>
  <c r="AB90" i="3"/>
  <c r="AA90" i="3"/>
  <c r="Z90" i="3"/>
  <c r="Y90" i="3"/>
  <c r="AC90" i="3" s="1"/>
  <c r="AD90" i="3" s="1"/>
  <c r="AE90" i="3" s="1"/>
  <c r="AB89" i="3"/>
  <c r="AA89" i="3"/>
  <c r="Z89" i="3"/>
  <c r="Y89" i="3"/>
  <c r="AC89" i="3" s="1"/>
  <c r="AD89" i="3" s="1"/>
  <c r="AE89" i="3" s="1"/>
  <c r="AB88" i="3"/>
  <c r="AA88" i="3"/>
  <c r="Z88" i="3"/>
  <c r="Y88" i="3"/>
  <c r="AC88" i="3" s="1"/>
  <c r="AD88" i="3" s="1"/>
  <c r="AE88" i="3" s="1"/>
  <c r="AB87" i="3"/>
  <c r="AA87" i="3"/>
  <c r="Z87" i="3"/>
  <c r="Y87" i="3"/>
  <c r="AC87" i="3" s="1"/>
  <c r="AD87" i="3" s="1"/>
  <c r="AE87" i="3" s="1"/>
  <c r="AB86" i="3"/>
  <c r="AA86" i="3"/>
  <c r="Z86" i="3"/>
  <c r="Y86" i="3"/>
  <c r="AC86" i="3" s="1"/>
  <c r="AD86" i="3" s="1"/>
  <c r="AE86" i="3" s="1"/>
  <c r="AB85" i="3"/>
  <c r="AA85" i="3"/>
  <c r="Z85" i="3"/>
  <c r="Y85" i="3"/>
  <c r="AC85" i="3" s="1"/>
  <c r="AD85" i="3" s="1"/>
  <c r="AE85" i="3" s="1"/>
  <c r="AB84" i="3"/>
  <c r="AA84" i="3"/>
  <c r="Z84" i="3"/>
  <c r="Y84" i="3"/>
  <c r="AC84" i="3" s="1"/>
  <c r="AD84" i="3" s="1"/>
  <c r="AE84" i="3" s="1"/>
  <c r="AB83" i="3"/>
  <c r="AA83" i="3"/>
  <c r="Z83" i="3"/>
  <c r="Y83" i="3"/>
  <c r="AC83" i="3" s="1"/>
  <c r="AD83" i="3" s="1"/>
  <c r="AE83" i="3" s="1"/>
  <c r="AB82" i="3"/>
  <c r="AA82" i="3"/>
  <c r="Z82" i="3"/>
  <c r="Y82" i="3"/>
  <c r="AC82" i="3" s="1"/>
  <c r="AD82" i="3" s="1"/>
  <c r="AE82" i="3" s="1"/>
  <c r="AB81" i="3"/>
  <c r="AA81" i="3"/>
  <c r="Z81" i="3"/>
  <c r="Y81" i="3"/>
  <c r="AC81" i="3" s="1"/>
  <c r="AD81" i="3" s="1"/>
  <c r="AE81" i="3" s="1"/>
  <c r="AB80" i="3"/>
  <c r="AA80" i="3"/>
  <c r="Z80" i="3"/>
  <c r="Y80" i="3"/>
  <c r="AC80" i="3" s="1"/>
  <c r="AD80" i="3" s="1"/>
  <c r="AE80" i="3" s="1"/>
  <c r="AB79" i="3"/>
  <c r="AA79" i="3"/>
  <c r="Z79" i="3"/>
  <c r="Y79" i="3"/>
  <c r="AC79" i="3" s="1"/>
  <c r="AD79" i="3" s="1"/>
  <c r="AE79" i="3" s="1"/>
  <c r="AB78" i="3"/>
  <c r="AA78" i="3"/>
  <c r="Z78" i="3"/>
  <c r="Y78" i="3"/>
  <c r="AC78" i="3" s="1"/>
  <c r="AD78" i="3" s="1"/>
  <c r="AE78" i="3" s="1"/>
  <c r="AB77" i="3"/>
  <c r="AA77" i="3"/>
  <c r="Z77" i="3"/>
  <c r="Y77" i="3"/>
  <c r="AC77" i="3" s="1"/>
  <c r="AD77" i="3" s="1"/>
  <c r="AB76" i="3"/>
  <c r="AA76" i="3"/>
  <c r="Z76" i="3"/>
  <c r="Y76" i="3"/>
  <c r="AC76" i="3" s="1"/>
  <c r="AD76" i="3" s="1"/>
  <c r="AE76" i="3" s="1"/>
  <c r="AB75" i="3"/>
  <c r="AA75" i="3"/>
  <c r="Z75" i="3"/>
  <c r="Y75" i="3"/>
  <c r="AC75" i="3" s="1"/>
  <c r="AD75" i="3" s="1"/>
  <c r="AE75" i="3" s="1"/>
  <c r="AB74" i="3"/>
  <c r="AA74" i="3"/>
  <c r="Z74" i="3"/>
  <c r="Y74" i="3"/>
  <c r="AC74" i="3" s="1"/>
  <c r="AD74" i="3" s="1"/>
  <c r="AE74" i="3" s="1"/>
  <c r="AB73" i="3"/>
  <c r="AA73" i="3"/>
  <c r="Z73" i="3"/>
  <c r="Y73" i="3"/>
  <c r="AC73" i="3" s="1"/>
  <c r="AD73" i="3" s="1"/>
  <c r="AE73" i="3" s="1"/>
  <c r="AB72" i="3"/>
  <c r="AA72" i="3"/>
  <c r="Z72" i="3"/>
  <c r="Y72" i="3"/>
  <c r="AC72" i="3" s="1"/>
  <c r="AD72" i="3" s="1"/>
  <c r="AE72" i="3" s="1"/>
  <c r="AB71" i="3"/>
  <c r="AA71" i="3"/>
  <c r="Z71" i="3"/>
  <c r="Y71" i="3"/>
  <c r="AC71" i="3" s="1"/>
  <c r="AD71" i="3" s="1"/>
  <c r="AE71" i="3" s="1"/>
  <c r="AB70" i="3"/>
  <c r="AA70" i="3"/>
  <c r="Z70" i="3"/>
  <c r="Y70" i="3"/>
  <c r="AC70" i="3" s="1"/>
  <c r="AD70" i="3" s="1"/>
  <c r="AE70" i="3" s="1"/>
  <c r="AB69" i="3"/>
  <c r="AA69" i="3"/>
  <c r="Z69" i="3"/>
  <c r="Y69" i="3"/>
  <c r="AC69" i="3" s="1"/>
  <c r="AD69" i="3" s="1"/>
  <c r="AE69" i="3" s="1"/>
  <c r="AB68" i="3"/>
  <c r="AA68" i="3"/>
  <c r="Z68" i="3"/>
  <c r="Y68" i="3"/>
  <c r="AC68" i="3" s="1"/>
  <c r="AD68" i="3" s="1"/>
  <c r="AE68" i="3" s="1"/>
  <c r="AB67" i="3"/>
  <c r="AA67" i="3"/>
  <c r="Z67" i="3"/>
  <c r="Y67" i="3"/>
  <c r="AC67" i="3" s="1"/>
  <c r="AD67" i="3" s="1"/>
  <c r="AE67" i="3" s="1"/>
  <c r="AB66" i="3"/>
  <c r="AA66" i="3"/>
  <c r="Z66" i="3"/>
  <c r="Y66" i="3"/>
  <c r="AC66" i="3" s="1"/>
  <c r="AD66" i="3" s="1"/>
  <c r="AE66" i="3" s="1"/>
  <c r="AB65" i="3"/>
  <c r="AA65" i="3"/>
  <c r="Z65" i="3"/>
  <c r="Y65" i="3"/>
  <c r="AC65" i="3" s="1"/>
  <c r="AD65" i="3" s="1"/>
  <c r="AE65" i="3" s="1"/>
  <c r="AB64" i="3"/>
  <c r="AA64" i="3"/>
  <c r="Z64" i="3"/>
  <c r="Y64" i="3"/>
  <c r="AC64" i="3" s="1"/>
  <c r="AD64" i="3" s="1"/>
  <c r="AE64" i="3" s="1"/>
  <c r="AB63" i="3"/>
  <c r="AA63" i="3"/>
  <c r="Z63" i="3"/>
  <c r="Y63" i="3"/>
  <c r="AC63" i="3" s="1"/>
  <c r="AD63" i="3" s="1"/>
  <c r="AE63" i="3" s="1"/>
  <c r="AB62" i="3"/>
  <c r="AA62" i="3"/>
  <c r="Z62" i="3"/>
  <c r="Y62" i="3"/>
  <c r="AC62" i="3" s="1"/>
  <c r="AD62" i="3" s="1"/>
  <c r="AB61" i="3"/>
  <c r="AA61" i="3"/>
  <c r="Z61" i="3"/>
  <c r="Y61" i="3"/>
  <c r="AC61" i="3" s="1"/>
  <c r="AD61" i="3" s="1"/>
  <c r="AE61" i="3" s="1"/>
  <c r="AB60" i="3"/>
  <c r="AA60" i="3"/>
  <c r="Z60" i="3"/>
  <c r="Y60" i="3"/>
  <c r="AC60" i="3" s="1"/>
  <c r="AD60" i="3" s="1"/>
  <c r="AE60" i="3" s="1"/>
  <c r="AB59" i="3"/>
  <c r="AA59" i="3"/>
  <c r="Z59" i="3"/>
  <c r="Y59" i="3"/>
  <c r="AC59" i="3" s="1"/>
  <c r="AD59" i="3" s="1"/>
  <c r="AE59" i="3" s="1"/>
  <c r="AB58" i="3"/>
  <c r="AA58" i="3"/>
  <c r="Z58" i="3"/>
  <c r="Y58" i="3"/>
  <c r="AC58" i="3" s="1"/>
  <c r="AD58" i="3" s="1"/>
  <c r="AE58" i="3" s="1"/>
  <c r="AB57" i="3"/>
  <c r="AA57" i="3"/>
  <c r="Z57" i="3"/>
  <c r="Y57" i="3"/>
  <c r="AC57" i="3" s="1"/>
  <c r="AD57" i="3" s="1"/>
  <c r="AE57" i="3" s="1"/>
  <c r="AB56" i="3"/>
  <c r="AA56" i="3"/>
  <c r="Z56" i="3"/>
  <c r="Y56" i="3"/>
  <c r="AC56" i="3" s="1"/>
  <c r="AD56" i="3" s="1"/>
  <c r="AE56" i="3" s="1"/>
  <c r="AB55" i="3"/>
  <c r="AA55" i="3"/>
  <c r="Z55" i="3"/>
  <c r="Y55" i="3"/>
  <c r="AC55" i="3" s="1"/>
  <c r="AD55" i="3" s="1"/>
  <c r="AE55" i="3" s="1"/>
  <c r="AB54" i="3"/>
  <c r="AA54" i="3"/>
  <c r="Z54" i="3"/>
  <c r="Y54" i="3"/>
  <c r="AC54" i="3" s="1"/>
  <c r="AD54" i="3" s="1"/>
  <c r="AE54" i="3" s="1"/>
  <c r="AB53" i="3"/>
  <c r="AA53" i="3"/>
  <c r="Z53" i="3"/>
  <c r="Y53" i="3"/>
  <c r="AC53" i="3" s="1"/>
  <c r="AD53" i="3" s="1"/>
  <c r="AE53" i="3" s="1"/>
  <c r="AB52" i="3"/>
  <c r="AA52" i="3"/>
  <c r="Z52" i="3"/>
  <c r="Y52" i="3"/>
  <c r="AC52" i="3" s="1"/>
  <c r="AD52" i="3" s="1"/>
  <c r="AE52" i="3" s="1"/>
  <c r="AB51" i="3"/>
  <c r="AA51" i="3"/>
  <c r="Z51" i="3"/>
  <c r="Y51" i="3"/>
  <c r="AC51" i="3" s="1"/>
  <c r="AD51" i="3" s="1"/>
  <c r="AE51" i="3" s="1"/>
  <c r="AB50" i="3"/>
  <c r="AA50" i="3"/>
  <c r="Z50" i="3"/>
  <c r="Y50" i="3"/>
  <c r="AC50" i="3" s="1"/>
  <c r="AD50" i="3" s="1"/>
  <c r="AE50" i="3" s="1"/>
  <c r="AB49" i="3"/>
  <c r="AA49" i="3"/>
  <c r="Z49" i="3"/>
  <c r="Y49" i="3"/>
  <c r="AC49" i="3" s="1"/>
  <c r="AD49" i="3" s="1"/>
  <c r="AE49" i="3" s="1"/>
  <c r="AB48" i="3"/>
  <c r="AA48" i="3"/>
  <c r="Z48" i="3"/>
  <c r="Y48" i="3"/>
  <c r="AC48" i="3" s="1"/>
  <c r="AD48" i="3" s="1"/>
  <c r="AE48" i="3" s="1"/>
  <c r="AB47" i="3"/>
  <c r="AA47" i="3"/>
  <c r="Z47" i="3"/>
  <c r="Y47" i="3"/>
  <c r="AC47" i="3" s="1"/>
  <c r="AD47" i="3" s="1"/>
  <c r="AB46" i="3"/>
  <c r="AA46" i="3"/>
  <c r="Z46" i="3"/>
  <c r="Y46" i="3"/>
  <c r="AC46" i="3" s="1"/>
  <c r="AD46" i="3" s="1"/>
  <c r="AE46" i="3" s="1"/>
  <c r="AB45" i="3"/>
  <c r="AA45" i="3"/>
  <c r="Z45" i="3"/>
  <c r="Y45" i="3"/>
  <c r="AC45" i="3" s="1"/>
  <c r="AD45" i="3" s="1"/>
  <c r="AE45" i="3" s="1"/>
  <c r="AB44" i="3"/>
  <c r="AA44" i="3"/>
  <c r="Z44" i="3"/>
  <c r="Y44" i="3"/>
  <c r="AC44" i="3" s="1"/>
  <c r="AD44" i="3" s="1"/>
  <c r="AE44" i="3" s="1"/>
  <c r="AB43" i="3"/>
  <c r="AA43" i="3"/>
  <c r="Z43" i="3"/>
  <c r="Y43" i="3"/>
  <c r="AC43" i="3" s="1"/>
  <c r="AD43" i="3" s="1"/>
  <c r="AE43" i="3" s="1"/>
  <c r="AB42" i="3"/>
  <c r="AA42" i="3"/>
  <c r="Z42" i="3"/>
  <c r="Y42" i="3"/>
  <c r="AC42" i="3" s="1"/>
  <c r="AD42" i="3" s="1"/>
  <c r="AE42" i="3" s="1"/>
  <c r="AB41" i="3"/>
  <c r="AA41" i="3"/>
  <c r="Z41" i="3"/>
  <c r="Y41" i="3"/>
  <c r="AC41" i="3" s="1"/>
  <c r="AD41" i="3" s="1"/>
  <c r="AE41" i="3" s="1"/>
  <c r="AB40" i="3"/>
  <c r="AA40" i="3"/>
  <c r="Z40" i="3"/>
  <c r="Y40" i="3"/>
  <c r="AC40" i="3" s="1"/>
  <c r="AD40" i="3" s="1"/>
  <c r="AE40" i="3" s="1"/>
  <c r="AB39" i="3"/>
  <c r="AA39" i="3"/>
  <c r="Z39" i="3"/>
  <c r="Y39" i="3"/>
  <c r="AC39" i="3" s="1"/>
  <c r="AD39" i="3" s="1"/>
  <c r="AE39" i="3" s="1"/>
  <c r="AB38" i="3"/>
  <c r="AA38" i="3"/>
  <c r="Z38" i="3"/>
  <c r="Y38" i="3"/>
  <c r="AC38" i="3" s="1"/>
  <c r="AD38" i="3" s="1"/>
  <c r="AE38" i="3" s="1"/>
  <c r="AB37" i="3"/>
  <c r="AA37" i="3"/>
  <c r="Z37" i="3"/>
  <c r="Y37" i="3"/>
  <c r="AC37" i="3" s="1"/>
  <c r="AD37" i="3" s="1"/>
  <c r="AE37" i="3" s="1"/>
  <c r="AB36" i="3"/>
  <c r="AA36" i="3"/>
  <c r="Z36" i="3"/>
  <c r="Y36" i="3"/>
  <c r="AC36" i="3" s="1"/>
  <c r="AD36" i="3" s="1"/>
  <c r="AE36" i="3" s="1"/>
  <c r="AB35" i="3"/>
  <c r="AA35" i="3"/>
  <c r="Z35" i="3"/>
  <c r="Y35" i="3"/>
  <c r="AC35" i="3" s="1"/>
  <c r="AD35" i="3" s="1"/>
  <c r="AE35" i="3" s="1"/>
  <c r="AB34" i="3"/>
  <c r="AA34" i="3"/>
  <c r="Z34" i="3"/>
  <c r="Y34" i="3"/>
  <c r="AC34" i="3" s="1"/>
  <c r="AD34" i="3" s="1"/>
  <c r="AE34" i="3" s="1"/>
  <c r="AB33" i="3"/>
  <c r="AA33" i="3"/>
  <c r="Z33" i="3"/>
  <c r="Y33" i="3"/>
  <c r="AC33" i="3" s="1"/>
  <c r="AD33" i="3" s="1"/>
  <c r="AE33" i="3" s="1"/>
  <c r="AB32" i="3"/>
  <c r="AA32" i="3"/>
  <c r="Z32" i="3"/>
  <c r="Y32" i="3"/>
  <c r="AC32" i="3" s="1"/>
  <c r="AD32" i="3" s="1"/>
  <c r="AB31" i="3"/>
  <c r="AA31" i="3"/>
  <c r="Z31" i="3"/>
  <c r="Y31" i="3"/>
  <c r="AC31" i="3" s="1"/>
  <c r="AD31" i="3" s="1"/>
  <c r="AE31" i="3" s="1"/>
  <c r="AB30" i="3"/>
  <c r="AA30" i="3"/>
  <c r="Z30" i="3"/>
  <c r="Y30" i="3"/>
  <c r="AC30" i="3" s="1"/>
  <c r="AD30" i="3" s="1"/>
  <c r="AE30" i="3" s="1"/>
  <c r="AB29" i="3"/>
  <c r="AA29" i="3"/>
  <c r="Z29" i="3"/>
  <c r="Y29" i="3"/>
  <c r="AC29" i="3" s="1"/>
  <c r="AD29" i="3" s="1"/>
  <c r="AE29" i="3" s="1"/>
  <c r="AB28" i="3"/>
  <c r="AA28" i="3"/>
  <c r="Z28" i="3"/>
  <c r="Y28" i="3"/>
  <c r="AC28" i="3" s="1"/>
  <c r="AD28" i="3" s="1"/>
  <c r="AE28" i="3" s="1"/>
  <c r="AB27" i="3"/>
  <c r="AA27" i="3"/>
  <c r="Z27" i="3"/>
  <c r="Y27" i="3"/>
  <c r="AC27" i="3" s="1"/>
  <c r="AD27" i="3" s="1"/>
  <c r="AE27" i="3" s="1"/>
  <c r="AB26" i="3"/>
  <c r="AA26" i="3"/>
  <c r="Z26" i="3"/>
  <c r="Y26" i="3"/>
  <c r="AC26" i="3" s="1"/>
  <c r="AD26" i="3" s="1"/>
  <c r="AE26" i="3" s="1"/>
  <c r="AB25" i="3"/>
  <c r="AA25" i="3"/>
  <c r="Z25" i="3"/>
  <c r="Y25" i="3"/>
  <c r="AC25" i="3" s="1"/>
  <c r="AD25" i="3" s="1"/>
  <c r="AE25" i="3" s="1"/>
  <c r="AB24" i="3"/>
  <c r="AA24" i="3"/>
  <c r="Z24" i="3"/>
  <c r="Y24" i="3"/>
  <c r="AC24" i="3" s="1"/>
  <c r="AD24" i="3" s="1"/>
  <c r="AE24" i="3" s="1"/>
  <c r="AB23" i="3"/>
  <c r="AA23" i="3"/>
  <c r="Z23" i="3"/>
  <c r="Y23" i="3"/>
  <c r="AC23" i="3" s="1"/>
  <c r="AD23" i="3" s="1"/>
  <c r="AE23" i="3" s="1"/>
  <c r="AB22" i="3"/>
  <c r="AA22" i="3"/>
  <c r="Z22" i="3"/>
  <c r="Y22" i="3"/>
  <c r="AC22" i="3" s="1"/>
  <c r="AD22" i="3" s="1"/>
  <c r="AE22" i="3" s="1"/>
  <c r="AB21" i="3"/>
  <c r="AA21" i="3"/>
  <c r="Z21" i="3"/>
  <c r="Y21" i="3"/>
  <c r="AC21" i="3" s="1"/>
  <c r="AD21" i="3" s="1"/>
  <c r="AE21" i="3" s="1"/>
  <c r="AB20" i="3"/>
  <c r="AA20" i="3"/>
  <c r="Z20" i="3"/>
  <c r="Y20" i="3"/>
  <c r="AC20" i="3" s="1"/>
  <c r="AD20" i="3" s="1"/>
  <c r="AE20" i="3" s="1"/>
  <c r="AB19" i="3"/>
  <c r="AA19" i="3"/>
  <c r="Z19" i="3"/>
  <c r="Y19" i="3"/>
  <c r="AC19" i="3" s="1"/>
  <c r="AD19" i="3" s="1"/>
  <c r="AE19" i="3" s="1"/>
  <c r="AB18" i="3"/>
  <c r="AA18" i="3"/>
  <c r="Z18" i="3"/>
  <c r="Y18" i="3"/>
  <c r="AC18" i="3" s="1"/>
  <c r="AD18" i="3" s="1"/>
  <c r="AE18" i="3" s="1"/>
  <c r="AB17" i="3"/>
  <c r="AA17" i="3"/>
  <c r="Z17" i="3"/>
  <c r="Y17" i="3"/>
  <c r="AC17" i="3" s="1"/>
  <c r="AD17" i="3" s="1"/>
  <c r="AB16" i="3"/>
  <c r="AA16" i="3"/>
  <c r="Z16" i="3"/>
  <c r="Y16" i="3"/>
  <c r="AC16" i="3" s="1"/>
  <c r="AD16" i="3" s="1"/>
  <c r="AE16" i="3" s="1"/>
  <c r="AB15" i="3"/>
  <c r="AA15" i="3"/>
  <c r="Z15" i="3"/>
  <c r="Y15" i="3"/>
  <c r="AC15" i="3" s="1"/>
  <c r="AD15" i="3" s="1"/>
  <c r="AE15" i="3" s="1"/>
  <c r="AB14" i="3"/>
  <c r="AA14" i="3"/>
  <c r="Z14" i="3"/>
  <c r="Y14" i="3"/>
  <c r="AC14" i="3" s="1"/>
  <c r="AD14" i="3" s="1"/>
  <c r="AE14" i="3" s="1"/>
  <c r="AB13" i="3"/>
  <c r="AA13" i="3"/>
  <c r="Z13" i="3"/>
  <c r="Y13" i="3"/>
  <c r="AC13" i="3" s="1"/>
  <c r="AD13" i="3" s="1"/>
  <c r="AE13" i="3" s="1"/>
  <c r="AB12" i="3"/>
  <c r="AA12" i="3"/>
  <c r="Z12" i="3"/>
  <c r="Y12" i="3"/>
  <c r="AC12" i="3" s="1"/>
  <c r="AD12" i="3" s="1"/>
  <c r="AE12" i="3" s="1"/>
  <c r="AB11" i="3"/>
  <c r="AA11" i="3"/>
  <c r="Z11" i="3"/>
  <c r="Y11" i="3"/>
  <c r="AC11" i="3" s="1"/>
  <c r="AD11" i="3" s="1"/>
  <c r="AE11" i="3" s="1"/>
  <c r="AB10" i="3"/>
  <c r="AA10" i="3"/>
  <c r="Z10" i="3"/>
  <c r="Y10" i="3"/>
  <c r="AC10" i="3" s="1"/>
  <c r="AD10" i="3" s="1"/>
  <c r="AE10" i="3" s="1"/>
  <c r="AB9" i="3"/>
  <c r="AA9" i="3"/>
  <c r="Z9" i="3"/>
  <c r="Y9" i="3"/>
  <c r="AC9" i="3" s="1"/>
  <c r="AD9" i="3" s="1"/>
  <c r="AE9" i="3" s="1"/>
  <c r="AB8" i="3"/>
  <c r="AA8" i="3"/>
  <c r="Z8" i="3"/>
  <c r="Y8" i="3"/>
  <c r="AC8" i="3" s="1"/>
  <c r="AD8" i="3" s="1"/>
  <c r="AB7" i="3"/>
  <c r="AA7" i="3"/>
  <c r="Z7" i="3"/>
  <c r="Y7" i="3"/>
  <c r="AC7" i="3" s="1"/>
  <c r="AD7" i="3" s="1"/>
  <c r="AE7" i="3" s="1"/>
  <c r="AB6" i="3"/>
  <c r="AA6" i="3"/>
  <c r="Z6" i="3"/>
  <c r="Y6" i="3"/>
  <c r="AC6" i="3" s="1"/>
  <c r="AD6" i="3" s="1"/>
  <c r="AE6" i="3" s="1"/>
  <c r="AB5" i="3"/>
  <c r="AA5" i="3"/>
  <c r="Z5" i="3"/>
  <c r="Y5" i="3"/>
  <c r="AC5" i="3" s="1"/>
  <c r="AD5" i="3" s="1"/>
  <c r="AB4" i="3"/>
  <c r="AA4" i="3"/>
  <c r="Z4" i="3"/>
  <c r="Y4" i="3"/>
  <c r="AC4" i="3" s="1"/>
  <c r="AD4" i="3" s="1"/>
  <c r="AB3" i="3"/>
  <c r="AA3" i="3"/>
  <c r="Z3" i="3"/>
  <c r="Y3" i="3"/>
  <c r="AC3" i="3" s="1"/>
  <c r="AD3" i="3" s="1"/>
  <c r="AB2" i="3"/>
  <c r="AA2" i="3"/>
  <c r="Z2" i="3"/>
  <c r="Y2" i="3"/>
  <c r="AC2" i="3" s="1"/>
  <c r="AD2" i="3" s="1"/>
  <c r="E39" i="5" l="1"/>
  <c r="AC426" i="3"/>
  <c r="AD426" i="3" s="1"/>
  <c r="AE426" i="3" s="1"/>
  <c r="AC297" i="3"/>
  <c r="AD297" i="3" s="1"/>
  <c r="AE297" i="3" s="1"/>
  <c r="E10" i="5"/>
  <c r="E38" i="5"/>
  <c r="F14" i="6"/>
  <c r="B8" i="6"/>
  <c r="D26" i="6"/>
  <c r="D25" i="6"/>
  <c r="D24" i="6"/>
  <c r="D23" i="6"/>
  <c r="D22" i="6"/>
  <c r="D17" i="6"/>
  <c r="D16" i="6"/>
  <c r="D15" i="6"/>
  <c r="E30" i="5"/>
  <c r="E26" i="5"/>
  <c r="AC592" i="3"/>
  <c r="AD592" i="3" s="1"/>
  <c r="AE592" i="3" s="1"/>
  <c r="F16" i="6"/>
  <c r="E24" i="6"/>
  <c r="F17" i="6"/>
  <c r="E25" i="6"/>
  <c r="E23" i="6"/>
  <c r="D13" i="6"/>
  <c r="E27" i="5"/>
  <c r="E26" i="6"/>
  <c r="E41" i="5"/>
  <c r="E40" i="5"/>
  <c r="E31" i="5"/>
  <c r="E13" i="5"/>
  <c r="E9" i="5"/>
  <c r="E8" i="5"/>
  <c r="E7" i="5"/>
  <c r="B6" i="6"/>
  <c r="E37" i="5"/>
  <c r="E29" i="5"/>
  <c r="E23" i="5"/>
  <c r="E22" i="5"/>
  <c r="E20" i="5"/>
  <c r="E19" i="5"/>
  <c r="E18" i="5"/>
  <c r="E12" i="5"/>
  <c r="E11" i="5"/>
  <c r="E6" i="5"/>
  <c r="E5" i="5"/>
  <c r="E4" i="5"/>
  <c r="E3" i="5"/>
  <c r="E2" i="5"/>
  <c r="E28" i="5"/>
  <c r="E24" i="5"/>
  <c r="E17" i="5"/>
  <c r="E16" i="5"/>
  <c r="E15" i="5"/>
  <c r="E14" i="5"/>
  <c r="E36" i="5"/>
  <c r="E35" i="5"/>
  <c r="E34" i="5"/>
  <c r="E33" i="5"/>
  <c r="E32" i="5"/>
  <c r="E25" i="5"/>
  <c r="AC245" i="3"/>
  <c r="AC575" i="3"/>
  <c r="AC120" i="3"/>
  <c r="AC520" i="3"/>
  <c r="R2" i="4"/>
  <c r="E8" i="6"/>
  <c r="AE587" i="3"/>
  <c r="H41" i="5"/>
  <c r="AE572" i="3"/>
  <c r="H40" i="5"/>
  <c r="AE557" i="3"/>
  <c r="H39" i="5"/>
  <c r="AE542" i="3"/>
  <c r="H38" i="5"/>
  <c r="AE527" i="3"/>
  <c r="H37" i="5"/>
  <c r="AE512" i="3"/>
  <c r="H36" i="5"/>
  <c r="AE497" i="3"/>
  <c r="H35" i="5"/>
  <c r="E22" i="6"/>
  <c r="F15" i="6"/>
  <c r="AE482" i="3"/>
  <c r="H34" i="5"/>
  <c r="AE467" i="3"/>
  <c r="H33" i="5"/>
  <c r="AE452" i="3"/>
  <c r="H32" i="5"/>
  <c r="AE437" i="3"/>
  <c r="H31" i="5"/>
  <c r="AE422" i="3"/>
  <c r="H30" i="5"/>
  <c r="AE407" i="3"/>
  <c r="H29" i="5"/>
  <c r="AE392" i="3"/>
  <c r="H28" i="5"/>
  <c r="AE377" i="3"/>
  <c r="H27" i="5"/>
  <c r="AE362" i="3"/>
  <c r="H26" i="5"/>
  <c r="AE347" i="3"/>
  <c r="H25" i="5"/>
  <c r="AE332" i="3"/>
  <c r="H24" i="5"/>
  <c r="AE317" i="3"/>
  <c r="H23" i="5"/>
  <c r="AE302" i="3"/>
  <c r="H22" i="5"/>
  <c r="AE287" i="3"/>
  <c r="H21" i="5"/>
  <c r="AE272" i="3"/>
  <c r="H20" i="5"/>
  <c r="AE257" i="3"/>
  <c r="H19" i="5"/>
  <c r="AD245" i="3"/>
  <c r="AD575" i="3"/>
  <c r="AE242" i="3"/>
  <c r="AE227" i="3"/>
  <c r="H17" i="5"/>
  <c r="AE212" i="3"/>
  <c r="H16" i="5"/>
  <c r="AE197" i="3"/>
  <c r="H15" i="5"/>
  <c r="AE182" i="3"/>
  <c r="H14" i="5"/>
  <c r="AE167" i="3"/>
  <c r="H13" i="5"/>
  <c r="AE152" i="3"/>
  <c r="H12" i="5"/>
  <c r="AE137" i="3"/>
  <c r="H11" i="5"/>
  <c r="AE122" i="3"/>
  <c r="H10" i="5"/>
  <c r="AD120" i="3"/>
  <c r="AD520" i="3"/>
  <c r="AE107" i="3"/>
  <c r="H9" i="5"/>
  <c r="AE92" i="3"/>
  <c r="H8" i="5"/>
  <c r="AE77" i="3"/>
  <c r="H7" i="5"/>
  <c r="AE62" i="3"/>
  <c r="H6" i="5"/>
  <c r="AE47" i="3"/>
  <c r="H5" i="5"/>
  <c r="AE32" i="3"/>
  <c r="H4" i="5"/>
  <c r="AE17" i="3"/>
  <c r="H3" i="5"/>
  <c r="G13" i="6"/>
  <c r="AE8" i="3"/>
  <c r="AE5" i="3"/>
  <c r="G14" i="6"/>
  <c r="AE4" i="3"/>
  <c r="G17" i="6"/>
  <c r="AE3" i="3"/>
  <c r="G16" i="6"/>
  <c r="AE2" i="3"/>
  <c r="H2" i="5"/>
  <c r="G15" i="6"/>
  <c r="B9" i="6"/>
  <c r="H18" i="5" l="1"/>
  <c r="AE245" i="3"/>
  <c r="AE575" i="3"/>
  <c r="AE120" i="3"/>
  <c r="H16" i="6" s="1"/>
  <c r="AE520" i="3"/>
  <c r="H15" i="6"/>
  <c r="H14" i="6"/>
  <c r="H17" i="6"/>
  <c r="H13" i="6" l="1"/>
  <c r="E4" i="6"/>
</calcChain>
</file>

<file path=xl/sharedStrings.xml><?xml version="1.0" encoding="utf-8"?>
<sst xmlns="http://schemas.openxmlformats.org/spreadsheetml/2006/main" count="9595" uniqueCount="1031">
  <si>
    <t>Ford Manufacturing Operations Copilot in Excel Demo</t>
  </si>
  <si>
    <t>FICTIONAL SYNTHETIC TRAINING DATA — NOT FOR OPERATIONAL USE</t>
  </si>
  <si>
    <t>Section</t>
  </si>
  <si>
    <t>Details</t>
  </si>
  <si>
    <t>Purpose</t>
  </si>
  <si>
    <t>Demonstrate Microsoft Copilot in Excel across workbook orientation, data cleanup, formula generation, trends, quality and risk analysis, dashboard creation, and advanced forecasting.</t>
  </si>
  <si>
    <t>Scenario</t>
  </si>
  <si>
    <t>You are a manufacturing operations analyst reviewing plant throughput, supplier performance, quality, delivery, warranty signals, launch readiness, and operational risk.</t>
  </si>
  <si>
    <t>Dataset note</t>
  </si>
  <si>
    <t>All plants, suppliers, programs, values, records, incidents, and outcomes are fictional synthetic data created for training. This workbook does not represent Ford production data, policy, performance, vehicles, plants, suppliers, or operational requirements.</t>
  </si>
  <si>
    <t>Recommended sequence</t>
  </si>
  <si>
    <t>Start with workbook orientation, clean Operations Data, add calculated columns, analyze trends, review Quality Risk, build/extend the Summary dashboard, then use Python for forecasting and clustering.</t>
  </si>
  <si>
    <t>Primary sheets</t>
  </si>
  <si>
    <t>Operations Data (600 rows), Quality Risk (240 rows), Summary, Weekly Trend, Lookup, Demo Prompts, Intentional Issues.</t>
  </si>
  <si>
    <t>Copilot readiness</t>
  </si>
  <si>
    <t>Data is formatted as Excel tables. Derived fields use formulas. Intentional quality issues and outliers are included for cleanup demonstrations.</t>
  </si>
  <si>
    <t>Category</t>
  </si>
  <si>
    <t>Value</t>
  </si>
  <si>
    <t>Description</t>
  </si>
  <si>
    <t>Plant</t>
  </si>
  <si>
    <t>Dearborn Assembly</t>
  </si>
  <si>
    <t>Fictional manufacturing location</t>
  </si>
  <si>
    <t>Kansas City Assembly</t>
  </si>
  <si>
    <t>Louisville Assembly</t>
  </si>
  <si>
    <t>Michigan Assembly</t>
  </si>
  <si>
    <t>Oakville Assembly</t>
  </si>
  <si>
    <t>Vehicle Program</t>
  </si>
  <si>
    <t>Electric SUV</t>
  </si>
  <si>
    <t>Fictional vehicle program</t>
  </si>
  <si>
    <t>Pickup Truck</t>
  </si>
  <si>
    <t>Commercial Van</t>
  </si>
  <si>
    <t>Performance SUV</t>
  </si>
  <si>
    <t>Hybrid Utility</t>
  </si>
  <si>
    <t>Supplier</t>
  </si>
  <si>
    <t>Blue Harbor Components</t>
  </si>
  <si>
    <t>Fictional supplier</t>
  </si>
  <si>
    <t>Cedar Forge Systems</t>
  </si>
  <si>
    <t>Pioneer Circuit Works</t>
  </si>
  <si>
    <t>Vector Embedded</t>
  </si>
  <si>
    <t>Northstar Seating</t>
  </si>
  <si>
    <t>Atlas Thermal Solutions</t>
  </si>
  <si>
    <t>Component</t>
  </si>
  <si>
    <t>Torque Sensor</t>
  </si>
  <si>
    <t>Synthetic component category</t>
  </si>
  <si>
    <t>Battery Controller</t>
  </si>
  <si>
    <t>Infotainment Harness</t>
  </si>
  <si>
    <t>Drive Unit Housing</t>
  </si>
  <si>
    <t>Seat Control Module</t>
  </si>
  <si>
    <t>Thermal Interface Assembly</t>
  </si>
  <si>
    <t>Record ID</t>
  </si>
  <si>
    <t>Week Start</t>
  </si>
  <si>
    <t>Month</t>
  </si>
  <si>
    <t>Region</t>
  </si>
  <si>
    <t>Shift</t>
  </si>
  <si>
    <t>Units Planned</t>
  </si>
  <si>
    <t>Units Produced</t>
  </si>
  <si>
    <t>Defects</t>
  </si>
  <si>
    <t>Rework Units</t>
  </si>
  <si>
    <t>On-Time Shipments</t>
  </si>
  <si>
    <t>Inspection Hours</t>
  </si>
  <si>
    <t>Downtime Hours</t>
  </si>
  <si>
    <t>Supplier Confirmation</t>
  </si>
  <si>
    <t>Missing Calibration Flag</t>
  </si>
  <si>
    <t>Saturday Coverage</t>
  </si>
  <si>
    <t>Customer Complaints</t>
  </si>
  <si>
    <t>Warranty Claims</t>
  </si>
  <si>
    <t>Unit Cost ($)</t>
  </si>
  <si>
    <t>Scrap Cost ($)</t>
  </si>
  <si>
    <t>Notes</t>
  </si>
  <si>
    <t>Defect Rate</t>
  </si>
  <si>
    <t>On-Time %</t>
  </si>
  <si>
    <t>Throughput Gap</t>
  </si>
  <si>
    <t>Estimated Scrap Impact ($)</t>
  </si>
  <si>
    <t>Operational Risk Score</t>
  </si>
  <si>
    <t>Risk Band</t>
  </si>
  <si>
    <t>Leadership Attention</t>
  </si>
  <si>
    <t>OPS-0001</t>
  </si>
  <si>
    <t>Jan</t>
  </si>
  <si>
    <t>North America East</t>
  </si>
  <si>
    <t>Swing</t>
  </si>
  <si>
    <t>Confirmed</t>
  </si>
  <si>
    <t>No</t>
  </si>
  <si>
    <t>Not Required</t>
  </si>
  <si>
    <t>Awaiting supplier confirmation</t>
  </si>
  <si>
    <t>OPS-0002</t>
  </si>
  <si>
    <t>Day</t>
  </si>
  <si>
    <t>Late</t>
  </si>
  <si>
    <t>Review supplier batch</t>
  </si>
  <si>
    <t>OPS-0003</t>
  </si>
  <si>
    <t>Canada</t>
  </si>
  <si>
    <t>Night</t>
  </si>
  <si>
    <t>Leadership decision required</t>
  </si>
  <si>
    <t>OPS-0004</t>
  </si>
  <si>
    <t>North America Central</t>
  </si>
  <si>
    <t>Normal variation</t>
  </si>
  <si>
    <t>OPS-0005</t>
  </si>
  <si>
    <t>Pending</t>
  </si>
  <si>
    <t>OPS-0006</t>
  </si>
  <si>
    <t>OPS-0007</t>
  </si>
  <si>
    <t>Yes</t>
  </si>
  <si>
    <t>Added</t>
  </si>
  <si>
    <t>OPS-0008</t>
  </si>
  <si>
    <t>OPS-0009</t>
  </si>
  <si>
    <t>OPS-0010</t>
  </si>
  <si>
    <t>OPS-0011</t>
  </si>
  <si>
    <t>OPS-0012</t>
  </si>
  <si>
    <t>OPS-0013</t>
  </si>
  <si>
    <t>OPS-0014</t>
  </si>
  <si>
    <t>Electric Sport Utility</t>
  </si>
  <si>
    <t>OPS-0015</t>
  </si>
  <si>
    <t>Quality containment active</t>
  </si>
  <si>
    <t>OPS-0016</t>
  </si>
  <si>
    <t>OPS-0017</t>
  </si>
  <si>
    <t>OPS-0018</t>
  </si>
  <si>
    <t>OPS-0019</t>
  </si>
  <si>
    <t>Throughput recovery in progress</t>
  </si>
  <si>
    <t>OPS-0020</t>
  </si>
  <si>
    <t>OPS-0021</t>
  </si>
  <si>
    <t>OPS-0022</t>
  </si>
  <si>
    <t>OPS-0023</t>
  </si>
  <si>
    <t>OPS-0024</t>
  </si>
  <si>
    <t>Calibration evidence incomplete</t>
  </si>
  <si>
    <t>OPS-0025</t>
  </si>
  <si>
    <t>OPS-0026</t>
  </si>
  <si>
    <t>OPS-0027</t>
  </si>
  <si>
    <t>OPS-0028</t>
  </si>
  <si>
    <t>OPS-0029</t>
  </si>
  <si>
    <t>OPS-0030</t>
  </si>
  <si>
    <t>OPS-0031</t>
  </si>
  <si>
    <t>OPS-0032</t>
  </si>
  <si>
    <t>OPS-0033</t>
  </si>
  <si>
    <t>OPS-0034</t>
  </si>
  <si>
    <t>OPS-0035</t>
  </si>
  <si>
    <t>OPS-0036</t>
  </si>
  <si>
    <t>OPS-0037</t>
  </si>
  <si>
    <t>OPS-0038</t>
  </si>
  <si>
    <t>OPS-0039</t>
  </si>
  <si>
    <t>OPS-0040</t>
  </si>
  <si>
    <t>Decision Required</t>
  </si>
  <si>
    <t>OPS-0041</t>
  </si>
  <si>
    <t xml:space="preserve">Pickup Truck </t>
  </si>
  <si>
    <t>OPS-0042</t>
  </si>
  <si>
    <t>OPS-0043</t>
  </si>
  <si>
    <t>OPS-0044</t>
  </si>
  <si>
    <t>OPS-0045</t>
  </si>
  <si>
    <t>OPS-0046</t>
  </si>
  <si>
    <t>OPS-0047</t>
  </si>
  <si>
    <t>OPS-0048</t>
  </si>
  <si>
    <t>OPS-0049</t>
  </si>
  <si>
    <t>OPS-0050</t>
  </si>
  <si>
    <t>OPS-0051</t>
  </si>
  <si>
    <t>Saturday validation under review</t>
  </si>
  <si>
    <t>OPS-0052</t>
  </si>
  <si>
    <t>OPS-0053</t>
  </si>
  <si>
    <t>OPS-0054</t>
  </si>
  <si>
    <t>OPS-0055</t>
  </si>
  <si>
    <t>OPS-0056</t>
  </si>
  <si>
    <t>OPS-0057</t>
  </si>
  <si>
    <t>OPS-0058</t>
  </si>
  <si>
    <t>OPS-0059</t>
  </si>
  <si>
    <t>OPS-0060</t>
  </si>
  <si>
    <t>OPS-0061</t>
  </si>
  <si>
    <t>Feb</t>
  </si>
  <si>
    <t>OPS-0062</t>
  </si>
  <si>
    <t>OPS-0063</t>
  </si>
  <si>
    <t>OPS-0064</t>
  </si>
  <si>
    <t>OPS-0065</t>
  </si>
  <si>
    <t>OPS-0066</t>
  </si>
  <si>
    <t>OPS-0067</t>
  </si>
  <si>
    <t>OPS-0068</t>
  </si>
  <si>
    <t>OPS-0069</t>
  </si>
  <si>
    <t>OPS-0070</t>
  </si>
  <si>
    <t>OPS-0071</t>
  </si>
  <si>
    <t>OPS-0072</t>
  </si>
  <si>
    <t>OPS-0073</t>
  </si>
  <si>
    <t>OPS-0074</t>
  </si>
  <si>
    <t>OPS-0075</t>
  </si>
  <si>
    <t>OPS-0076</t>
  </si>
  <si>
    <t>OPS-0077</t>
  </si>
  <si>
    <t>OPS-0078</t>
  </si>
  <si>
    <t>OPS-0079</t>
  </si>
  <si>
    <t>OPS-0080</t>
  </si>
  <si>
    <t>OPS-0081</t>
  </si>
  <si>
    <t>OPS-0082</t>
  </si>
  <si>
    <t>OPS-0083</t>
  </si>
  <si>
    <t>OPS-0084</t>
  </si>
  <si>
    <t>OPS-0085</t>
  </si>
  <si>
    <t>OPS-0086</t>
  </si>
  <si>
    <t>OPS-0087</t>
  </si>
  <si>
    <t>OPS-0088</t>
  </si>
  <si>
    <t>Vector Embedded Systems</t>
  </si>
  <si>
    <t>OPS-0089</t>
  </si>
  <si>
    <t>OPS-0090</t>
  </si>
  <si>
    <t>OPS-0091</t>
  </si>
  <si>
    <t>OPS-0092</t>
  </si>
  <si>
    <t>OPS-0093</t>
  </si>
  <si>
    <t>OPS-0094</t>
  </si>
  <si>
    <t>OPS-0095</t>
  </si>
  <si>
    <t>OPS-0096</t>
  </si>
  <si>
    <t>OPS-0097</t>
  </si>
  <si>
    <t>OPS-0098</t>
  </si>
  <si>
    <t>OPS-0099</t>
  </si>
  <si>
    <t>OPS-0100</t>
  </si>
  <si>
    <t>OPS-0101</t>
  </si>
  <si>
    <t>OPS-0102</t>
  </si>
  <si>
    <t>OPS-0103</t>
  </si>
  <si>
    <t>OPS-0104</t>
  </si>
  <si>
    <t>OPS-0105</t>
  </si>
  <si>
    <t>OPS-0106</t>
  </si>
  <si>
    <t>OPS-0107</t>
  </si>
  <si>
    <t>OPS-0108</t>
  </si>
  <si>
    <t>OPS-0109</t>
  </si>
  <si>
    <t>OPS-0110</t>
  </si>
  <si>
    <t>OPS-0111</t>
  </si>
  <si>
    <t>OPS-0112</t>
  </si>
  <si>
    <t>OPS-0113</t>
  </si>
  <si>
    <t>OPS-0114</t>
  </si>
  <si>
    <t>OPS-0115</t>
  </si>
  <si>
    <t>OPS-0116</t>
  </si>
  <si>
    <t>OPS-0117</t>
  </si>
  <si>
    <t>OPS-0118</t>
  </si>
  <si>
    <t>OPS-0119</t>
  </si>
  <si>
    <t>OPS-0120</t>
  </si>
  <si>
    <t>OPS-0121</t>
  </si>
  <si>
    <t>Mar</t>
  </si>
  <si>
    <t>OPS-0122</t>
  </si>
  <si>
    <t>OPS-0123</t>
  </si>
  <si>
    <t>OPS-0124</t>
  </si>
  <si>
    <t>OPS-0125</t>
  </si>
  <si>
    <t>OPS-0126</t>
  </si>
  <si>
    <t>OPS-0127</t>
  </si>
  <si>
    <t>OPS-0128</t>
  </si>
  <si>
    <t>OPS-0129</t>
  </si>
  <si>
    <t>OPS-0130</t>
  </si>
  <si>
    <t>OPS-0131</t>
  </si>
  <si>
    <t>OPS-0132</t>
  </si>
  <si>
    <t>OPS-0133</t>
  </si>
  <si>
    <t>OPS-0134</t>
  </si>
  <si>
    <t>OPS-0135</t>
  </si>
  <si>
    <t>OPS-0136</t>
  </si>
  <si>
    <t>OPS-0137</t>
  </si>
  <si>
    <t>OPS-0138</t>
  </si>
  <si>
    <t>OPS-0139</t>
  </si>
  <si>
    <t>OPS-0140</t>
  </si>
  <si>
    <t>OPS-0141</t>
  </si>
  <si>
    <t>OPS-0142</t>
  </si>
  <si>
    <t>OPS-0143</t>
  </si>
  <si>
    <t>OPS-0144</t>
  </si>
  <si>
    <t>Dearborn Assy</t>
  </si>
  <si>
    <t>OPS-0145</t>
  </si>
  <si>
    <t>OPS-0146</t>
  </si>
  <si>
    <t>OPS-0147</t>
  </si>
  <si>
    <t>OPS-0148</t>
  </si>
  <si>
    <t>OPS-0149</t>
  </si>
  <si>
    <t>OPS-0150</t>
  </si>
  <si>
    <t>OPS-0151</t>
  </si>
  <si>
    <t>OPS-0152</t>
  </si>
  <si>
    <t>OPS-0153</t>
  </si>
  <si>
    <t>OPS-0154</t>
  </si>
  <si>
    <t>OPS-0155</t>
  </si>
  <si>
    <t>OPS-0156</t>
  </si>
  <si>
    <t>OPS-0157</t>
  </si>
  <si>
    <t>OPS-0158</t>
  </si>
  <si>
    <t>OPS-0159</t>
  </si>
  <si>
    <t>OPS-0160</t>
  </si>
  <si>
    <t>OPS-0161</t>
  </si>
  <si>
    <t>OPS-0162</t>
  </si>
  <si>
    <t>OPS-0163</t>
  </si>
  <si>
    <t>OPS-0164</t>
  </si>
  <si>
    <t>OPS-0165</t>
  </si>
  <si>
    <t>OPS-0166</t>
  </si>
  <si>
    <t>OPS-0167</t>
  </si>
  <si>
    <t>OPS-0168</t>
  </si>
  <si>
    <t>OPS-0169</t>
  </si>
  <si>
    <t>OPS-0170</t>
  </si>
  <si>
    <t>OPS-0171</t>
  </si>
  <si>
    <t>OPS-0172</t>
  </si>
  <si>
    <t>OPS-0173</t>
  </si>
  <si>
    <t>OPS-0174</t>
  </si>
  <si>
    <t>OPS-0175</t>
  </si>
  <si>
    <t>OPS-0176</t>
  </si>
  <si>
    <t>OPS-0177</t>
  </si>
  <si>
    <t>OPS-0178</t>
  </si>
  <si>
    <t>OPS-0179</t>
  </si>
  <si>
    <t>OPS-0180</t>
  </si>
  <si>
    <t>OPS-0181</t>
  </si>
  <si>
    <t>OPS-0182</t>
  </si>
  <si>
    <t>OPS-0183</t>
  </si>
  <si>
    <t>OPS-0184</t>
  </si>
  <si>
    <t>OPS-0185</t>
  </si>
  <si>
    <t>OPS-0186</t>
  </si>
  <si>
    <t>OPS-0187</t>
  </si>
  <si>
    <t>OPS-0188</t>
  </si>
  <si>
    <t>OPS-0189</t>
  </si>
  <si>
    <t>OPS-0190</t>
  </si>
  <si>
    <t>OPS-0191</t>
  </si>
  <si>
    <t>OPS-0192</t>
  </si>
  <si>
    <t>OPS-0193</t>
  </si>
  <si>
    <t>OPS-0194</t>
  </si>
  <si>
    <t>OPS-0195</t>
  </si>
  <si>
    <t>OPS-0196</t>
  </si>
  <si>
    <t>Apr</t>
  </si>
  <si>
    <t>OPS-0197</t>
  </si>
  <si>
    <t>OPS-0198</t>
  </si>
  <si>
    <t>OPS-0199</t>
  </si>
  <si>
    <t>OPS-0200</t>
  </si>
  <si>
    <t>Intentional outlier for demo</t>
  </si>
  <si>
    <t>OPS-0201</t>
  </si>
  <si>
    <t>OPS-0202</t>
  </si>
  <si>
    <t>OPS-0203</t>
  </si>
  <si>
    <t>OPS-0204</t>
  </si>
  <si>
    <t>OPS-0205</t>
  </si>
  <si>
    <t>OPS-0206</t>
  </si>
  <si>
    <t>OPS-0207</t>
  </si>
  <si>
    <t>OPS-0208</t>
  </si>
  <si>
    <t>OPS-0209</t>
  </si>
  <si>
    <t>OPS-0210</t>
  </si>
  <si>
    <t>OPS-0211</t>
  </si>
  <si>
    <t>OPS-0212</t>
  </si>
  <si>
    <t>OPS-0213</t>
  </si>
  <si>
    <t>OPS-0214</t>
  </si>
  <si>
    <t>OPS-0215</t>
  </si>
  <si>
    <t>OPS-0216</t>
  </si>
  <si>
    <t>OPS-0217</t>
  </si>
  <si>
    <t>OPS-0218</t>
  </si>
  <si>
    <t>OPS-0219</t>
  </si>
  <si>
    <t>OPS-0220</t>
  </si>
  <si>
    <t>OPS-0221</t>
  </si>
  <si>
    <t>Nights</t>
  </si>
  <si>
    <t>OPS-0222</t>
  </si>
  <si>
    <t>OPS-0223</t>
  </si>
  <si>
    <t>OPS-0224</t>
  </si>
  <si>
    <t>OPS-0225</t>
  </si>
  <si>
    <t>OPS-0226</t>
  </si>
  <si>
    <t>OPS-0227</t>
  </si>
  <si>
    <t>OPS-0228</t>
  </si>
  <si>
    <t>OPS-0229</t>
  </si>
  <si>
    <t>OPS-0230</t>
  </si>
  <si>
    <t>OPS-0231</t>
  </si>
  <si>
    <t>OPS-0232</t>
  </si>
  <si>
    <t>OPS-0233</t>
  </si>
  <si>
    <t>OPS-0234</t>
  </si>
  <si>
    <t>OPS-0235</t>
  </si>
  <si>
    <t>OPS-0236</t>
  </si>
  <si>
    <t>OPS-0237</t>
  </si>
  <si>
    <t>OPS-0238</t>
  </si>
  <si>
    <t>OPS-0239</t>
  </si>
  <si>
    <t>OPS-0240</t>
  </si>
  <si>
    <t>OPS-0241</t>
  </si>
  <si>
    <t>OPS-0242</t>
  </si>
  <si>
    <t>OPS-0243</t>
  </si>
  <si>
    <t>OPS-0244</t>
  </si>
  <si>
    <t>OPS-0245</t>
  </si>
  <si>
    <t>OPS-0246</t>
  </si>
  <si>
    <t>OPS-0247</t>
  </si>
  <si>
    <t>OPS-0248</t>
  </si>
  <si>
    <t>OPS-0249</t>
  </si>
  <si>
    <t>OPS-0250</t>
  </si>
  <si>
    <t>OPS-0251</t>
  </si>
  <si>
    <t>OPS-0252</t>
  </si>
  <si>
    <t>OPS-0253</t>
  </si>
  <si>
    <t>OPS-0254</t>
  </si>
  <si>
    <t>OPS-0255</t>
  </si>
  <si>
    <t>OPS-0256</t>
  </si>
  <si>
    <t>May</t>
  </si>
  <si>
    <t>OPS-0257</t>
  </si>
  <si>
    <t>OPS-0258</t>
  </si>
  <si>
    <t>OPS-0259</t>
  </si>
  <si>
    <t>OPS-0260</t>
  </si>
  <si>
    <t>OPS-0261</t>
  </si>
  <si>
    <t>OPS-0262</t>
  </si>
  <si>
    <t>OPS-0263</t>
  </si>
  <si>
    <t>OPS-0264</t>
  </si>
  <si>
    <t>OPS-0265</t>
  </si>
  <si>
    <t>OPS-0266</t>
  </si>
  <si>
    <t>OPS-0267</t>
  </si>
  <si>
    <t>OPS-0268</t>
  </si>
  <si>
    <t>OPS-0269</t>
  </si>
  <si>
    <t>OPS-0270</t>
  </si>
  <si>
    <t>OPS-0271</t>
  </si>
  <si>
    <t>OPS-0272</t>
  </si>
  <si>
    <t>OPS-0273</t>
  </si>
  <si>
    <t>OPS-0274</t>
  </si>
  <si>
    <t>OPS-0275</t>
  </si>
  <si>
    <t>OPS-0276</t>
  </si>
  <si>
    <t>OPS-0277</t>
  </si>
  <si>
    <t>OPS-0278</t>
  </si>
  <si>
    <t>OPS-0279</t>
  </si>
  <si>
    <t>OPS-0280</t>
  </si>
  <si>
    <t>OPS-0281</t>
  </si>
  <si>
    <t>OPS-0282</t>
  </si>
  <si>
    <t>OPS-0283</t>
  </si>
  <si>
    <t>OPS-0284</t>
  </si>
  <si>
    <t>OPS-0285</t>
  </si>
  <si>
    <t>OPS-0286</t>
  </si>
  <si>
    <t>OPS-0287</t>
  </si>
  <si>
    <t>OPS-0288</t>
  </si>
  <si>
    <t>OPS-0289</t>
  </si>
  <si>
    <t>OPS-0290</t>
  </si>
  <si>
    <t>OPS-0291</t>
  </si>
  <si>
    <t>OPS-0292</t>
  </si>
  <si>
    <t>OPS-0293</t>
  </si>
  <si>
    <t>OPS-0294</t>
  </si>
  <si>
    <t>OPS-0295</t>
  </si>
  <si>
    <t>OPS-0296</t>
  </si>
  <si>
    <t>OPS-0297</t>
  </si>
  <si>
    <t>OPS-0298</t>
  </si>
  <si>
    <t>OPS-0299</t>
  </si>
  <si>
    <t>OPS-0300</t>
  </si>
  <si>
    <t>OPS-0301</t>
  </si>
  <si>
    <t>OPS-0302</t>
  </si>
  <si>
    <t>OPS-0303</t>
  </si>
  <si>
    <t>OPS-0304</t>
  </si>
  <si>
    <t>OPS-0305</t>
  </si>
  <si>
    <t>OPS-0306</t>
  </si>
  <si>
    <t>OPS-0307</t>
  </si>
  <si>
    <t>OPS-0308</t>
  </si>
  <si>
    <t>OPS-0309</t>
  </si>
  <si>
    <t>OPS-0310</t>
  </si>
  <si>
    <t>OPS-0311</t>
  </si>
  <si>
    <t>OPS-0312</t>
  </si>
  <si>
    <t>OPS-0313</t>
  </si>
  <si>
    <t>OPS-0314</t>
  </si>
  <si>
    <t>OPS-0315</t>
  </si>
  <si>
    <t>OPS-0316</t>
  </si>
  <si>
    <t>Jun</t>
  </si>
  <si>
    <t>OPS-0317</t>
  </si>
  <si>
    <t>OPS-0318</t>
  </si>
  <si>
    <t>Blue Harbour Components</t>
  </si>
  <si>
    <t>OPS-0319</t>
  </si>
  <si>
    <t>OPS-0320</t>
  </si>
  <si>
    <t>OPS-0321</t>
  </si>
  <si>
    <t>OPS-0322</t>
  </si>
  <si>
    <t>OPS-0323</t>
  </si>
  <si>
    <t>OPS-0324</t>
  </si>
  <si>
    <t>OPS-0325</t>
  </si>
  <si>
    <t>OPS-0326</t>
  </si>
  <si>
    <t>OPS-0327</t>
  </si>
  <si>
    <t>OPS-0328</t>
  </si>
  <si>
    <t>OPS-0329</t>
  </si>
  <si>
    <t>OPS-0330</t>
  </si>
  <si>
    <t>OPS-0331</t>
  </si>
  <si>
    <t>OPS-0332</t>
  </si>
  <si>
    <t>OPS-0333</t>
  </si>
  <si>
    <t>OPS-0334</t>
  </si>
  <si>
    <t>OPS-0335</t>
  </si>
  <si>
    <t>OPS-0336</t>
  </si>
  <si>
    <t>OPS-0337</t>
  </si>
  <si>
    <t>OPS-0338</t>
  </si>
  <si>
    <t>OPS-0339</t>
  </si>
  <si>
    <t>OPS-0340</t>
  </si>
  <si>
    <t>OPS-0341</t>
  </si>
  <si>
    <t>OPS-0342</t>
  </si>
  <si>
    <t>OPS-0343</t>
  </si>
  <si>
    <t>OPS-0344</t>
  </si>
  <si>
    <t>OPS-0345</t>
  </si>
  <si>
    <t>OPS-0346</t>
  </si>
  <si>
    <t>OPS-0347</t>
  </si>
  <si>
    <t>OPS-0348</t>
  </si>
  <si>
    <t>OPS-0349</t>
  </si>
  <si>
    <t>OPS-0350</t>
  </si>
  <si>
    <t>OPS-0351</t>
  </si>
  <si>
    <t>OPS-0352</t>
  </si>
  <si>
    <t>OPS-0353</t>
  </si>
  <si>
    <t>OPS-0354</t>
  </si>
  <si>
    <t>OPS-0355</t>
  </si>
  <si>
    <t>OPS-0356</t>
  </si>
  <si>
    <t>OPS-0357</t>
  </si>
  <si>
    <t>OPS-0358</t>
  </si>
  <si>
    <t>OPS-0359</t>
  </si>
  <si>
    <t>OPS-0360</t>
  </si>
  <si>
    <t>OPS-0361</t>
  </si>
  <si>
    <t>OPS-0362</t>
  </si>
  <si>
    <t>OPS-0363</t>
  </si>
  <si>
    <t>OPS-0364</t>
  </si>
  <si>
    <t>OPS-0365</t>
  </si>
  <si>
    <t>OPS-0366</t>
  </si>
  <si>
    <t>OPS-0367</t>
  </si>
  <si>
    <t>OPS-0368</t>
  </si>
  <si>
    <t>OPS-0369</t>
  </si>
  <si>
    <t>OPS-0370</t>
  </si>
  <si>
    <t>OPS-0371</t>
  </si>
  <si>
    <t>OPS-0372</t>
  </si>
  <si>
    <t>OPS-0373</t>
  </si>
  <si>
    <t>OPS-0374</t>
  </si>
  <si>
    <t>OPS-0375</t>
  </si>
  <si>
    <t>OPS-0376</t>
  </si>
  <si>
    <t>OPS-0377</t>
  </si>
  <si>
    <t>Intentional quality outlier for demo</t>
  </si>
  <si>
    <t>OPS-0378</t>
  </si>
  <si>
    <t>OPS-0379</t>
  </si>
  <si>
    <t>OPS-0380</t>
  </si>
  <si>
    <t>OPS-0381</t>
  </si>
  <si>
    <t>OPS-0382</t>
  </si>
  <si>
    <t>OPS-0383</t>
  </si>
  <si>
    <t>OPS-0384</t>
  </si>
  <si>
    <t>OPS-0385</t>
  </si>
  <si>
    <t>OPS-0386</t>
  </si>
  <si>
    <t>OPS-0387</t>
  </si>
  <si>
    <t>OPS-0388</t>
  </si>
  <si>
    <t>OPS-0389</t>
  </si>
  <si>
    <t>OPS-0390</t>
  </si>
  <si>
    <t>OPS-0391</t>
  </si>
  <si>
    <t>Jul</t>
  </si>
  <si>
    <t>OPS-0392</t>
  </si>
  <si>
    <t>OPS-0393</t>
  </si>
  <si>
    <t>OPS-0394</t>
  </si>
  <si>
    <t>OPS-0395</t>
  </si>
  <si>
    <t>OPS-0396</t>
  </si>
  <si>
    <t>OPS-0397</t>
  </si>
  <si>
    <t>OPS-0398</t>
  </si>
  <si>
    <t>OPS-0399</t>
  </si>
  <si>
    <t>OPS-0400</t>
  </si>
  <si>
    <t>OPS-0401</t>
  </si>
  <si>
    <t>OPS-0402</t>
  </si>
  <si>
    <t>OPS-0403</t>
  </si>
  <si>
    <t>OPS-0404</t>
  </si>
  <si>
    <t>OPS-0405</t>
  </si>
  <si>
    <t>OPS-0406</t>
  </si>
  <si>
    <t>OPS-0407</t>
  </si>
  <si>
    <t>OPS-0408</t>
  </si>
  <si>
    <t>OPS-0409</t>
  </si>
  <si>
    <t>OPS-0410</t>
  </si>
  <si>
    <t>Torque sensor</t>
  </si>
  <si>
    <t>OPS-0411</t>
  </si>
  <si>
    <t>OPS-0412</t>
  </si>
  <si>
    <t>OPS-0413</t>
  </si>
  <si>
    <t>OPS-0414</t>
  </si>
  <si>
    <t>OPS-0415</t>
  </si>
  <si>
    <t>OPS-0416</t>
  </si>
  <si>
    <t>OPS-0417</t>
  </si>
  <si>
    <t>OPS-0418</t>
  </si>
  <si>
    <t>OPS-0419</t>
  </si>
  <si>
    <t>OPS-0420</t>
  </si>
  <si>
    <t>OPS-0421</t>
  </si>
  <si>
    <t>OPS-0422</t>
  </si>
  <si>
    <t>OPS-0423</t>
  </si>
  <si>
    <t>OPS-0424</t>
  </si>
  <si>
    <t>OPS-0425</t>
  </si>
  <si>
    <t>OPS-0426</t>
  </si>
  <si>
    <t>OPS-0427</t>
  </si>
  <si>
    <t>OPS-0428</t>
  </si>
  <si>
    <t>OPS-0429</t>
  </si>
  <si>
    <t>OPS-0430</t>
  </si>
  <si>
    <t>OPS-0431</t>
  </si>
  <si>
    <t>OPS-0432</t>
  </si>
  <si>
    <t>OPS-0433</t>
  </si>
  <si>
    <t>OPS-0434</t>
  </si>
  <si>
    <t>OPS-0435</t>
  </si>
  <si>
    <t>OPS-0436</t>
  </si>
  <si>
    <t>OPS-0437</t>
  </si>
  <si>
    <t>OPS-0438</t>
  </si>
  <si>
    <t>OPS-0439</t>
  </si>
  <si>
    <t>OPS-0440</t>
  </si>
  <si>
    <t>OPS-0441</t>
  </si>
  <si>
    <t>OPS-0442</t>
  </si>
  <si>
    <t>OPS-0443</t>
  </si>
  <si>
    <t>OPS-0444</t>
  </si>
  <si>
    <t>OPS-0445</t>
  </si>
  <si>
    <t>OPS-0446</t>
  </si>
  <si>
    <t>OPS-0447</t>
  </si>
  <si>
    <t>OPS-0448</t>
  </si>
  <si>
    <t>OPS-0449</t>
  </si>
  <si>
    <t>OPS-0450</t>
  </si>
  <si>
    <t>OPS-0451</t>
  </si>
  <si>
    <t>Aug</t>
  </si>
  <si>
    <t>OPS-0452</t>
  </si>
  <si>
    <t>OPS-0453</t>
  </si>
  <si>
    <t>OPS-0454</t>
  </si>
  <si>
    <t>OPS-0455</t>
  </si>
  <si>
    <t>OPS-0456</t>
  </si>
  <si>
    <t>OPS-0457</t>
  </si>
  <si>
    <t>OPS-0458</t>
  </si>
  <si>
    <t>OPS-0459</t>
  </si>
  <si>
    <t>OPS-0460</t>
  </si>
  <si>
    <t>OPS-0461</t>
  </si>
  <si>
    <t>OPS-0462</t>
  </si>
  <si>
    <t>OPS-0463</t>
  </si>
  <si>
    <t>OPS-0464</t>
  </si>
  <si>
    <t>OPS-0465</t>
  </si>
  <si>
    <t>OPS-0466</t>
  </si>
  <si>
    <t>OPS-0467</t>
  </si>
  <si>
    <t>OPS-0468</t>
  </si>
  <si>
    <t>OPS-0469</t>
  </si>
  <si>
    <t>OPS-0470</t>
  </si>
  <si>
    <t>OPS-0471</t>
  </si>
  <si>
    <t>OPS-0472</t>
  </si>
  <si>
    <t>OPS-0473</t>
  </si>
  <si>
    <t>OPS-0474</t>
  </si>
  <si>
    <t>OPS-0475</t>
  </si>
  <si>
    <t>OPS-0476</t>
  </si>
  <si>
    <t>OPS-0477</t>
  </si>
  <si>
    <t>OPS-0478</t>
  </si>
  <si>
    <t>OPS-0479</t>
  </si>
  <si>
    <t>OPS-0480</t>
  </si>
  <si>
    <t>OPS-0481</t>
  </si>
  <si>
    <t>OPS-0482</t>
  </si>
  <si>
    <t>OPS-0483</t>
  </si>
  <si>
    <t>OPS-0484</t>
  </si>
  <si>
    <t>OPS-0485</t>
  </si>
  <si>
    <t>OPS-0486</t>
  </si>
  <si>
    <t>OPS-0487</t>
  </si>
  <si>
    <t>OPS-0488</t>
  </si>
  <si>
    <t>OPS-0489</t>
  </si>
  <si>
    <t>OPS-0490</t>
  </si>
  <si>
    <t>OPS-0491</t>
  </si>
  <si>
    <t>OPS-0492</t>
  </si>
  <si>
    <t>OPS-0493</t>
  </si>
  <si>
    <t>OPS-0494</t>
  </si>
  <si>
    <t>OPS-0495</t>
  </si>
  <si>
    <t>OPS-0496</t>
  </si>
  <si>
    <t>OPS-0497</t>
  </si>
  <si>
    <t>OPS-0498</t>
  </si>
  <si>
    <t>OPS-0499</t>
  </si>
  <si>
    <t>OPS-0500</t>
  </si>
  <si>
    <t>OPS-0501</t>
  </si>
  <si>
    <t>OPS-0502</t>
  </si>
  <si>
    <t>OPS-0503</t>
  </si>
  <si>
    <t>OPS-0504</t>
  </si>
  <si>
    <t>OPS-0505</t>
  </si>
  <si>
    <t>OPS-0506</t>
  </si>
  <si>
    <t>OPS-0507</t>
  </si>
  <si>
    <t>OPS-0508</t>
  </si>
  <si>
    <t>OPS-0509</t>
  </si>
  <si>
    <t>OPS-0510</t>
  </si>
  <si>
    <t>OPS-0511</t>
  </si>
  <si>
    <t>OPS-0512</t>
  </si>
  <si>
    <t>OPS-0513</t>
  </si>
  <si>
    <t>OPS-0514</t>
  </si>
  <si>
    <t>OPS-0515</t>
  </si>
  <si>
    <t>OPS-0516</t>
  </si>
  <si>
    <t>OPS-0517</t>
  </si>
  <si>
    <t>OPS-0518</t>
  </si>
  <si>
    <t>OPS-0520</t>
  </si>
  <si>
    <t>OPS-0521</t>
  </si>
  <si>
    <t>OPS-0522</t>
  </si>
  <si>
    <t>OPS-0523</t>
  </si>
  <si>
    <t>OPS-0524</t>
  </si>
  <si>
    <t>OPS-0525</t>
  </si>
  <si>
    <t>OPS-0526</t>
  </si>
  <si>
    <t>Sep</t>
  </si>
  <si>
    <t>OPS-0527</t>
  </si>
  <si>
    <t>OPS-0528</t>
  </si>
  <si>
    <t>OPS-0529</t>
  </si>
  <si>
    <t>OPS-0530</t>
  </si>
  <si>
    <t>OPS-0531</t>
  </si>
  <si>
    <t>OPS-0532</t>
  </si>
  <si>
    <t>OPS-0533</t>
  </si>
  <si>
    <t>OPS-0534</t>
  </si>
  <si>
    <t>OPS-0535</t>
  </si>
  <si>
    <t>OPS-0536</t>
  </si>
  <si>
    <t>OPS-0537</t>
  </si>
  <si>
    <t>OPS-0538</t>
  </si>
  <si>
    <t>OPS-0539</t>
  </si>
  <si>
    <t>OPS-0540</t>
  </si>
  <si>
    <t>OPS-0541</t>
  </si>
  <si>
    <t>OPS-0542</t>
  </si>
  <si>
    <t>OPS-0543</t>
  </si>
  <si>
    <t>OPS-0544</t>
  </si>
  <si>
    <t>OPS-0545</t>
  </si>
  <si>
    <t>OPS-0546</t>
  </si>
  <si>
    <t>OPS-0547</t>
  </si>
  <si>
    <t>OPS-0548</t>
  </si>
  <si>
    <t>OPS-0549</t>
  </si>
  <si>
    <t>OPS-0550</t>
  </si>
  <si>
    <t>OPS-0551</t>
  </si>
  <si>
    <t>OPS-0552</t>
  </si>
  <si>
    <t>OPS-0553</t>
  </si>
  <si>
    <t>OPS-0554</t>
  </si>
  <si>
    <t>OPS-0555</t>
  </si>
  <si>
    <t>OPS-0556</t>
  </si>
  <si>
    <t>OPS-0557</t>
  </si>
  <si>
    <t>OPS-0558</t>
  </si>
  <si>
    <t>OPS-0559</t>
  </si>
  <si>
    <t>OPS-0560</t>
  </si>
  <si>
    <t>OPS-0561</t>
  </si>
  <si>
    <t>OPS-0562</t>
  </si>
  <si>
    <t>OPS-0563</t>
  </si>
  <si>
    <t>OPS-0564</t>
  </si>
  <si>
    <t>OPS-0565</t>
  </si>
  <si>
    <t>OPS-0566</t>
  </si>
  <si>
    <t>OPS-0567</t>
  </si>
  <si>
    <t>OPS-0568</t>
  </si>
  <si>
    <t>OPS-0569</t>
  </si>
  <si>
    <t>OPS-0570</t>
  </si>
  <si>
    <t>OPS-0571</t>
  </si>
  <si>
    <t>OPS-0572</t>
  </si>
  <si>
    <t>OPS-0573</t>
  </si>
  <si>
    <t>OPS-0575</t>
  </si>
  <si>
    <t>OPS-0576</t>
  </si>
  <si>
    <t>OPS-0577</t>
  </si>
  <si>
    <t>OPS-0578</t>
  </si>
  <si>
    <t>OPS-0579</t>
  </si>
  <si>
    <t>OPS-0580</t>
  </si>
  <si>
    <t>OPS-0581</t>
  </si>
  <si>
    <t>OPS-0582</t>
  </si>
  <si>
    <t>OPS-0583</t>
  </si>
  <si>
    <t>OPS-0584</t>
  </si>
  <si>
    <t>OPS-0585</t>
  </si>
  <si>
    <t>OPS-0586</t>
  </si>
  <si>
    <t>Oct</t>
  </si>
  <si>
    <t>OPS-0587</t>
  </si>
  <si>
    <t>OPS-0588</t>
  </si>
  <si>
    <t>OPS-0589</t>
  </si>
  <si>
    <t>OPS-0590</t>
  </si>
  <si>
    <t>OPS-0591</t>
  </si>
  <si>
    <t>OPS-0592</t>
  </si>
  <si>
    <t>OPS-0593</t>
  </si>
  <si>
    <t>OPS-0594</t>
  </si>
  <si>
    <t>OPS-0595</t>
  </si>
  <si>
    <t>OPS-0596</t>
  </si>
  <si>
    <t>OPS-0597</t>
  </si>
  <si>
    <t>OPS-0598</t>
  </si>
  <si>
    <t>OPS-0599</t>
  </si>
  <si>
    <t>OPS-0600</t>
  </si>
  <si>
    <t>Risk ID</t>
  </si>
  <si>
    <t>Review Date</t>
  </si>
  <si>
    <t>Defect Trend</t>
  </si>
  <si>
    <t>Calibration Status</t>
  </si>
  <si>
    <t>Supplier Readiness</t>
  </si>
  <si>
    <t>Severity</t>
  </si>
  <si>
    <t>Likelihood</t>
  </si>
  <si>
    <t>Customer Impact</t>
  </si>
  <si>
    <t>Estimated Exposure ($)</t>
  </si>
  <si>
    <t>Days Open</t>
  </si>
  <si>
    <t>Risk Threshold</t>
  </si>
  <si>
    <t>Risk Score</t>
  </si>
  <si>
    <t>Review Status</t>
  </si>
  <si>
    <t>Recommended Follow-up</t>
  </si>
  <si>
    <t>RSK-0001</t>
  </si>
  <si>
    <t>Improving</t>
  </si>
  <si>
    <t>Complete</t>
  </si>
  <si>
    <t>Ready</t>
  </si>
  <si>
    <t>High</t>
  </si>
  <si>
    <t>RSK-0002</t>
  </si>
  <si>
    <t>At Risk</t>
  </si>
  <si>
    <t>Low</t>
  </si>
  <si>
    <t>RSK-0003</t>
  </si>
  <si>
    <t>RSK-0004</t>
  </si>
  <si>
    <t>Worsening</t>
  </si>
  <si>
    <t>RSK-0005</t>
  </si>
  <si>
    <t>RSK-0006</t>
  </si>
  <si>
    <t>Stable</t>
  </si>
  <si>
    <t>Medium</t>
  </si>
  <si>
    <t>RSK-0007</t>
  </si>
  <si>
    <t>Critical</t>
  </si>
  <si>
    <t>RSK-0008</t>
  </si>
  <si>
    <t>Conditional</t>
  </si>
  <si>
    <t>RSK-0009</t>
  </si>
  <si>
    <t>RSK-0010</t>
  </si>
  <si>
    <t>RSK-0011</t>
  </si>
  <si>
    <t>RSK-0012</t>
  </si>
  <si>
    <t>RSK-0013</t>
  </si>
  <si>
    <t>RSK-0014</t>
  </si>
  <si>
    <t>RSK-0015</t>
  </si>
  <si>
    <t>RSK-0016</t>
  </si>
  <si>
    <t>RSK-0017</t>
  </si>
  <si>
    <t>RSK-0018</t>
  </si>
  <si>
    <t>RSK-0019</t>
  </si>
  <si>
    <t>RSK-0020</t>
  </si>
  <si>
    <t>RSK-0021</t>
  </si>
  <si>
    <t>RSK-0022</t>
  </si>
  <si>
    <t>RSK-0023</t>
  </si>
  <si>
    <t>RSK-0024</t>
  </si>
  <si>
    <t>RSK-0025</t>
  </si>
  <si>
    <t>RSK-0026</t>
  </si>
  <si>
    <t>RSK-0027</t>
  </si>
  <si>
    <t>RSK-0028</t>
  </si>
  <si>
    <t>RSK-0029</t>
  </si>
  <si>
    <t>RSK-0030</t>
  </si>
  <si>
    <t>RSK-0031</t>
  </si>
  <si>
    <t>RSK-0032</t>
  </si>
  <si>
    <t>RSK-0033</t>
  </si>
  <si>
    <t>RSK-0034</t>
  </si>
  <si>
    <t>RSK-0035</t>
  </si>
  <si>
    <t>RSK-0036</t>
  </si>
  <si>
    <t>RSK-0037</t>
  </si>
  <si>
    <t>RSK-0038</t>
  </si>
  <si>
    <t>RSK-0039</t>
  </si>
  <si>
    <t>RSK-0040</t>
  </si>
  <si>
    <t>RSK-0041</t>
  </si>
  <si>
    <t>RSK-0042</t>
  </si>
  <si>
    <t>RSK-0043</t>
  </si>
  <si>
    <t>RSK-0044</t>
  </si>
  <si>
    <t>RSK-0045</t>
  </si>
  <si>
    <t>RSK-0046</t>
  </si>
  <si>
    <t>RSK-0047</t>
  </si>
  <si>
    <t>RSK-0048</t>
  </si>
  <si>
    <t>RSK-0049</t>
  </si>
  <si>
    <t>RSK-0050</t>
  </si>
  <si>
    <t>RSK-0051</t>
  </si>
  <si>
    <t>RSK-0052</t>
  </si>
  <si>
    <t>RSK-0053</t>
  </si>
  <si>
    <t>RSK-0054</t>
  </si>
  <si>
    <t>RSK-0055</t>
  </si>
  <si>
    <t>RSK-0056</t>
  </si>
  <si>
    <t>RSK-0057</t>
  </si>
  <si>
    <t>RSK-0058</t>
  </si>
  <si>
    <t>RSK-0059</t>
  </si>
  <si>
    <t>RSK-0060</t>
  </si>
  <si>
    <t>RSK-0061</t>
  </si>
  <si>
    <t>RSK-0062</t>
  </si>
  <si>
    <t>RSK-0063</t>
  </si>
  <si>
    <t>RSK-0064</t>
  </si>
  <si>
    <t>RSK-0065</t>
  </si>
  <si>
    <t>RSK-0066</t>
  </si>
  <si>
    <t>RSK-0067</t>
  </si>
  <si>
    <t>RSK-0068</t>
  </si>
  <si>
    <t>RSK-0069</t>
  </si>
  <si>
    <t>RSK-0070</t>
  </si>
  <si>
    <t>RSK-0071</t>
  </si>
  <si>
    <t>RSK-0072</t>
  </si>
  <si>
    <t>RSK-0073</t>
  </si>
  <si>
    <t>RSK-0074</t>
  </si>
  <si>
    <t>RSK-0075</t>
  </si>
  <si>
    <t>RSK-0076</t>
  </si>
  <si>
    <t>RSK-0077</t>
  </si>
  <si>
    <t>RSK-0078</t>
  </si>
  <si>
    <t>RSK-0079</t>
  </si>
  <si>
    <t>RSK-0080</t>
  </si>
  <si>
    <t>RSK-0081</t>
  </si>
  <si>
    <t>RSK-0082</t>
  </si>
  <si>
    <t>Missing</t>
  </si>
  <si>
    <t>RSK-0083</t>
  </si>
  <si>
    <t>RSK-0084</t>
  </si>
  <si>
    <t>RSK-0085</t>
  </si>
  <si>
    <t>RSK-0086</t>
  </si>
  <si>
    <t>RSK-0087</t>
  </si>
  <si>
    <t>RSK-0088</t>
  </si>
  <si>
    <t>RSK-0089</t>
  </si>
  <si>
    <t>RSK-0090</t>
  </si>
  <si>
    <t>RSK-0091</t>
  </si>
  <si>
    <t>RSK-0092</t>
  </si>
  <si>
    <t>RSK-0093</t>
  </si>
  <si>
    <t>RSK-0094</t>
  </si>
  <si>
    <t>RSK-0095</t>
  </si>
  <si>
    <t>RSK-0096</t>
  </si>
  <si>
    <t>RSK-0097</t>
  </si>
  <si>
    <t>RSK-0098</t>
  </si>
  <si>
    <t>RSK-0099</t>
  </si>
  <si>
    <t>RSK-0100</t>
  </si>
  <si>
    <t>RSK-0101</t>
  </si>
  <si>
    <t>RSK-0102</t>
  </si>
  <si>
    <t>RSK-0103</t>
  </si>
  <si>
    <t>RSK-0104</t>
  </si>
  <si>
    <t>RSK-0105</t>
  </si>
  <si>
    <t>RSK-0106</t>
  </si>
  <si>
    <t>RSK-0107</t>
  </si>
  <si>
    <t>RSK-0108</t>
  </si>
  <si>
    <t>RSK-0109</t>
  </si>
  <si>
    <t>RSK-0110</t>
  </si>
  <si>
    <t>RSK-0111</t>
  </si>
  <si>
    <t>RSK-0112</t>
  </si>
  <si>
    <t>RSK-0113</t>
  </si>
  <si>
    <t>RSK-0114</t>
  </si>
  <si>
    <t>RSK-0115</t>
  </si>
  <si>
    <t>RSK-0116</t>
  </si>
  <si>
    <t>RSK-0117</t>
  </si>
  <si>
    <t>RSK-0118</t>
  </si>
  <si>
    <t>RSK-0119</t>
  </si>
  <si>
    <t>RSK-0120</t>
  </si>
  <si>
    <t>RSK-0121</t>
  </si>
  <si>
    <t>RSK-0122</t>
  </si>
  <si>
    <t>RSK-0123</t>
  </si>
  <si>
    <t>RSK-0124</t>
  </si>
  <si>
    <t>RSK-0125</t>
  </si>
  <si>
    <t>RSK-0126</t>
  </si>
  <si>
    <t>RSK-0127</t>
  </si>
  <si>
    <t>RSK-0128</t>
  </si>
  <si>
    <t>RSK-0129</t>
  </si>
  <si>
    <t>RSK-0130</t>
  </si>
  <si>
    <t>RSK-0131</t>
  </si>
  <si>
    <t>RSK-0132</t>
  </si>
  <si>
    <t>RSK-0133</t>
  </si>
  <si>
    <t>RSK-0134</t>
  </si>
  <si>
    <t>RSK-0135</t>
  </si>
  <si>
    <t>RSK-0136</t>
  </si>
  <si>
    <t>RSK-0137</t>
  </si>
  <si>
    <t>RSK-0138</t>
  </si>
  <si>
    <t>RSK-0139</t>
  </si>
  <si>
    <t>RSK-0140</t>
  </si>
  <si>
    <t>RSK-0141</t>
  </si>
  <si>
    <t>RSK-0142</t>
  </si>
  <si>
    <t>RSK-0143</t>
  </si>
  <si>
    <t>RSK-0144</t>
  </si>
  <si>
    <t>RSK-0145</t>
  </si>
  <si>
    <t>RSK-0146</t>
  </si>
  <si>
    <t>RSK-0147</t>
  </si>
  <si>
    <t>RSK-0148</t>
  </si>
  <si>
    <t>RSK-0149</t>
  </si>
  <si>
    <t>RSK-0150</t>
  </si>
  <si>
    <t>RSK-0151</t>
  </si>
  <si>
    <t>RSK-0152</t>
  </si>
  <si>
    <t>RSK-0153</t>
  </si>
  <si>
    <t>RSK-0154</t>
  </si>
  <si>
    <t>RSK-0155</t>
  </si>
  <si>
    <t>RSK-0156</t>
  </si>
  <si>
    <t>RSK-0157</t>
  </si>
  <si>
    <t>RSK-0158</t>
  </si>
  <si>
    <t>RSK-0159</t>
  </si>
  <si>
    <t>RSK-0160</t>
  </si>
  <si>
    <t>RSK-0161</t>
  </si>
  <si>
    <t>RSK-0162</t>
  </si>
  <si>
    <t>RSK-0163</t>
  </si>
  <si>
    <t>RSK-0164</t>
  </si>
  <si>
    <t>RSK-0165</t>
  </si>
  <si>
    <t>RSK-0166</t>
  </si>
  <si>
    <t>RSK-0167</t>
  </si>
  <si>
    <t>RSK-0168</t>
  </si>
  <si>
    <t>RSK-0169</t>
  </si>
  <si>
    <t>RSK-0170</t>
  </si>
  <si>
    <t>RSK-0171</t>
  </si>
  <si>
    <t>RSK-0172</t>
  </si>
  <si>
    <t>RSK-0173</t>
  </si>
  <si>
    <t>RSK-0174</t>
  </si>
  <si>
    <t>RSK-0175</t>
  </si>
  <si>
    <t>RSK-0176</t>
  </si>
  <si>
    <t>RSK-0177</t>
  </si>
  <si>
    <t>RSK-0178</t>
  </si>
  <si>
    <t>RSK-0179</t>
  </si>
  <si>
    <t>RSK-0180</t>
  </si>
  <si>
    <t>RSK-0181</t>
  </si>
  <si>
    <t>RSK-0182</t>
  </si>
  <si>
    <t>RSK-0183</t>
  </si>
  <si>
    <t>RSK-0184</t>
  </si>
  <si>
    <t>RSK-0185</t>
  </si>
  <si>
    <t>RSK-0186</t>
  </si>
  <si>
    <t>RSK-0187</t>
  </si>
  <si>
    <t>RSK-0188</t>
  </si>
  <si>
    <t>RSK-0189</t>
  </si>
  <si>
    <t>RSK-0190</t>
  </si>
  <si>
    <t>RSK-0191</t>
  </si>
  <si>
    <t>RSK-0192</t>
  </si>
  <si>
    <t>RSK-0193</t>
  </si>
  <si>
    <t>RSK-0194</t>
  </si>
  <si>
    <t>RSK-0195</t>
  </si>
  <si>
    <t>RSK-0196</t>
  </si>
  <si>
    <t>RSK-0197</t>
  </si>
  <si>
    <t>RSK-0198</t>
  </si>
  <si>
    <t>RSK-0199</t>
  </si>
  <si>
    <t>RSK-0200</t>
  </si>
  <si>
    <t>RSK-0201</t>
  </si>
  <si>
    <t>RSK-0202</t>
  </si>
  <si>
    <t>RSK-0203</t>
  </si>
  <si>
    <t>RSK-0204</t>
  </si>
  <si>
    <t>RSK-0205</t>
  </si>
  <si>
    <t>RSK-0206</t>
  </si>
  <si>
    <t>RSK-0207</t>
  </si>
  <si>
    <t>RSK-0208</t>
  </si>
  <si>
    <t>RSK-0209</t>
  </si>
  <si>
    <t>RSK-0210</t>
  </si>
  <si>
    <t>RSK-0211</t>
  </si>
  <si>
    <t>RSK-0212</t>
  </si>
  <si>
    <t>RSK-0213</t>
  </si>
  <si>
    <t>RSK-0214</t>
  </si>
  <si>
    <t>RSK-0215</t>
  </si>
  <si>
    <t>RSK-0216</t>
  </si>
  <si>
    <t>RSK-0217</t>
  </si>
  <si>
    <t>RSK-0218</t>
  </si>
  <si>
    <t>RSK-0219</t>
  </si>
  <si>
    <t>RSK-0220</t>
  </si>
  <si>
    <t>RSK-0221</t>
  </si>
  <si>
    <t>RSK-0222</t>
  </si>
  <si>
    <t>RSK-0223</t>
  </si>
  <si>
    <t>RSK-0224</t>
  </si>
  <si>
    <t>RSK-0225</t>
  </si>
  <si>
    <t>RSK-0226</t>
  </si>
  <si>
    <t>RSK-0227</t>
  </si>
  <si>
    <t>RSK-0228</t>
  </si>
  <si>
    <t>RSK-0229</t>
  </si>
  <si>
    <t>RSK-0230</t>
  </si>
  <si>
    <t>RSK-0231</t>
  </si>
  <si>
    <t>RSK-0232</t>
  </si>
  <si>
    <t>RSK-0233</t>
  </si>
  <si>
    <t>RSK-0234</t>
  </si>
  <si>
    <t>RSK-0235</t>
  </si>
  <si>
    <t>RSK-0236</t>
  </si>
  <si>
    <t>RSK-0237</t>
  </si>
  <si>
    <t>RSK-0238</t>
  </si>
  <si>
    <t>RSK-0239</t>
  </si>
  <si>
    <t>RSK-0240</t>
  </si>
  <si>
    <t>High Risk Records</t>
  </si>
  <si>
    <t>Executive Manufacturing Operations Summary</t>
  </si>
  <si>
    <t>Metric</t>
  </si>
  <si>
    <t>Total Units Produced</t>
  </si>
  <si>
    <t>Leadership Attention Records</t>
  </si>
  <si>
    <t>Total Defects</t>
  </si>
  <si>
    <t>Late Supplier Confirmations</t>
  </si>
  <si>
    <t>Overall Defect Rate</t>
  </si>
  <si>
    <t>Missing Calibration Records</t>
  </si>
  <si>
    <t>Overall On-Time %</t>
  </si>
  <si>
    <t>Saturday Decisions Required</t>
  </si>
  <si>
    <t>Estimated Scrap Impact</t>
  </si>
  <si>
    <t>Risk Reviews Required</t>
  </si>
  <si>
    <t>Portfolio Exposure ($)</t>
  </si>
  <si>
    <t>Scrap Impact ($)</t>
  </si>
  <si>
    <t>High Risk</t>
  </si>
  <si>
    <t>Issue Type</t>
  </si>
  <si>
    <t>Worksheet / Location</t>
  </si>
  <si>
    <t>What to Look For</t>
  </si>
  <si>
    <t>Expected Correction / Demo Outcome</t>
  </si>
  <si>
    <t>Operations Data!F15</t>
  </si>
  <si>
    <t>Normalize to Electric SUV</t>
  </si>
  <si>
    <t>Operations Data!F42</t>
  </si>
  <si>
    <t>Pickup Truck with trailing space</t>
  </si>
  <si>
    <t>Normalize to Pickup Truck</t>
  </si>
  <si>
    <t>Operations Data!H89</t>
  </si>
  <si>
    <t>Normalize to Vector Embedded</t>
  </si>
  <si>
    <t>Operations Data!D145</t>
  </si>
  <si>
    <t>Normalize to Dearborn Assembly</t>
  </si>
  <si>
    <t>Operations Data!G222</t>
  </si>
  <si>
    <t>Normalize to Night</t>
  </si>
  <si>
    <t>Operations Data!H319</t>
  </si>
  <si>
    <t>Normalize to Blue Harbor Components</t>
  </si>
  <si>
    <t>Operations Data!I411</t>
  </si>
  <si>
    <t>Normalize to Torque Sensor</t>
  </si>
  <si>
    <t>Duplicate</t>
  </si>
  <si>
    <t>Operations Data row 520</t>
  </si>
  <si>
    <t>Exact duplicate of row 120</t>
  </si>
  <si>
    <t>Remove or flag duplicate</t>
  </si>
  <si>
    <t>Operations Data row 575</t>
  </si>
  <si>
    <t>Exact duplicate of row 245</t>
  </si>
  <si>
    <t>Defects / downtime outlier</t>
  </si>
  <si>
    <t>Operations Data row 201</t>
  </si>
  <si>
    <t>420 defects and 96 downtime hours</t>
  </si>
  <si>
    <t>Investigate or flag</t>
  </si>
  <si>
    <t>Unit / scrap cost outlier</t>
  </si>
  <si>
    <t>$1,450 unit cost and $609,000 scrap cost</t>
  </si>
  <si>
    <t>Quality outlier</t>
  </si>
  <si>
    <t>Operations Data row 378</t>
  </si>
  <si>
    <t>310 defects and 82.5 downtime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</si>
</sst>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d\,\ yyyy"/>
    <numFmt numFmtId="165" formatCode="\$#,##0.00"/>
    <numFmt numFmtId="166" formatCode="0.0%"/>
    <numFmt numFmtId="167" formatCode="\$#,##0"/>
  </numFmts>
  <fonts count="4" x14ac:knownFonts="1">
    <font>
      <sz val="11"/>
      <color theme="1"/>
      <name val="Calibri"/>
      <family val="2"/>
      <scheme val="minor"/>
    </font>
    <font>
      <b/>
      <sz val="20"/>
      <color rgb="FF003478"/>
      <name val="Calibri"/>
    </font>
    <font>
      <b/>
      <sz val="11"/>
      <color rgb="FFFFFFFF"/>
      <name val="Calibri"/>
    </font>
    <font>
      <b/>
      <sz val="11"/>
      <color rgb="FF003478"/>
      <name val="Calibri"/>
    </font>
  </fonts>
  <fills count="4">
    <fill>
      <patternFill patternType="none"/>
    </fill>
    <fill>
      <patternFill patternType="gray125"/>
    </fill>
    <fill>
      <patternFill patternType="solid">
        <fgColor rgb="FFC00000"/>
      </patternFill>
    </fill>
    <fill>
      <patternFill patternType="solid">
        <fgColor rgb="FF003478"/>
      </patternFill>
    </fill>
  </fills>
  <borders count="1">
    <border>
      <left/>
      <right/>
      <top/>
      <bottom/>
      <diagonal/>
    </border>
  </borders>
  <cellStyleXfs count="1">
    <xf numFmtId="0" fontId="0" fillId="0" borderId="0"/>
  </cellStyleXfs>
  <cellXfs count="13">
    <xf numFmtId="0" fontId="0" fillId="0" borderId="0" xfId="0"/>
    <xf numFmtId="0" fontId="2" fillId="3" borderId="0" xfId="0" applyFont="1" applyFill="1"/>
    <xf numFmtId="0" fontId="3" fillId="0" borderId="0" xfId="0" applyFont="1"/>
    <xf numFmtId="0" fontId="0" fillId="0" borderId="0" xfId="0" applyAlignment="1">
      <alignment vertical="top" wrapText="1"/>
    </xf>
    <xf numFmtId="0" fontId="2" fillId="3" borderId="0" xfId="0" applyFont="1" applyFill="1" applyAlignment="1">
      <alignment wrapText="1"/>
    </xf>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0" borderId="0" xfId="0" applyAlignment="1">
      <alignment vertical="top" wrapText="1"/>
    </xf>
    <xf numFmtId="0" fontId="0" fillId="0" borderId="0" xfId="0"/>
    <xf numFmtId="0" fontId="1" fillId="0" borderId="0" xfId="0" applyFont="1" applyAlignment="1">
      <alignment horizontal="center"/>
    </xf>
    <xf numFmtId="0" fontId="2" fillId="2" borderId="0" xfId="0" applyFont="1" applyFill="1" applyAlignment="1">
      <alignment horizontal="center"/>
    </xf>
  </cellXfs>
  <cellStyles count="1">
    <cellStyle name="Normal" xfId="0" builtinId="0"/>
  </cellStyles>
  <dxfs count="4">
    <dxf>
      <fill>
        <patternFill patternType="solid">
          <fgColor rgb="FFFFF2CC"/>
        </patternFill>
      </fill>
    </dxf>
    <dxf>
      <fill>
        <patternFill patternType="solid">
          <fgColor rgb="FFF4CCCC"/>
        </patternFill>
      </fill>
    </dxf>
    <dxf>
      <fill>
        <patternFill patternType="solid">
          <fgColor rgb="FFF4CCCC"/>
        </patternFill>
      </fill>
    </dxf>
    <dxf>
      <fill>
        <patternFill patternType="solid">
          <fgColor rgb="FFF4CCC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Weekly Production and Quality Trend</a:t>
            </a:r>
          </a:p>
        </c:rich>
      </c:tx>
      <c:overlay val="1"/>
    </c:title>
    <c:autoTitleDeleted val="0"/>
    <c:plotArea>
      <c:layout/>
      <c:lineChart>
        <c:grouping val="standard"/>
        <c:varyColors val="1"/>
        <c:ser>
          <c:idx val="0"/>
          <c:order val="0"/>
          <c:tx>
            <c:strRef>
              <c:f>'Weekly Trend'!$B$1</c:f>
              <c:strCache>
                <c:ptCount val="1"/>
                <c:pt idx="0">
                  <c:v>Units Planned</c:v>
                </c:pt>
              </c:strCache>
            </c:strRef>
          </c:tx>
          <c:spPr>
            <a:ln>
              <a:prstDash val="solid"/>
            </a:ln>
          </c:spPr>
          <c:marker>
            <c:symbol val="none"/>
          </c:marker>
          <c:cat>
            <c:numRef>
              <c:f>'Weekly Trend'!$A$2:$A$41</c:f>
              <c:numCache>
                <c:formatCode>mmm\ d\,\ yyyy</c:formatCode>
                <c:ptCount val="40"/>
                <c:pt idx="0">
                  <c:v>46027</c:v>
                </c:pt>
                <c:pt idx="1">
                  <c:v>46034</c:v>
                </c:pt>
                <c:pt idx="2">
                  <c:v>46041</c:v>
                </c:pt>
                <c:pt idx="3">
                  <c:v>46048</c:v>
                </c:pt>
                <c:pt idx="4">
                  <c:v>46055</c:v>
                </c:pt>
                <c:pt idx="5">
                  <c:v>46062</c:v>
                </c:pt>
                <c:pt idx="6">
                  <c:v>46069</c:v>
                </c:pt>
                <c:pt idx="7">
                  <c:v>46076</c:v>
                </c:pt>
                <c:pt idx="8">
                  <c:v>46083</c:v>
                </c:pt>
                <c:pt idx="9">
                  <c:v>46090</c:v>
                </c:pt>
                <c:pt idx="10">
                  <c:v>46097</c:v>
                </c:pt>
                <c:pt idx="11">
                  <c:v>46104</c:v>
                </c:pt>
                <c:pt idx="12">
                  <c:v>46111</c:v>
                </c:pt>
                <c:pt idx="13">
                  <c:v>46118</c:v>
                </c:pt>
                <c:pt idx="14">
                  <c:v>46125</c:v>
                </c:pt>
                <c:pt idx="15">
                  <c:v>46132</c:v>
                </c:pt>
                <c:pt idx="16">
                  <c:v>46139</c:v>
                </c:pt>
                <c:pt idx="17">
                  <c:v>46146</c:v>
                </c:pt>
                <c:pt idx="18">
                  <c:v>46153</c:v>
                </c:pt>
                <c:pt idx="19">
                  <c:v>46160</c:v>
                </c:pt>
                <c:pt idx="20">
                  <c:v>46167</c:v>
                </c:pt>
                <c:pt idx="21">
                  <c:v>46174</c:v>
                </c:pt>
                <c:pt idx="22">
                  <c:v>46181</c:v>
                </c:pt>
                <c:pt idx="23">
                  <c:v>46188</c:v>
                </c:pt>
                <c:pt idx="24">
                  <c:v>46195</c:v>
                </c:pt>
                <c:pt idx="25">
                  <c:v>46202</c:v>
                </c:pt>
                <c:pt idx="26">
                  <c:v>46209</c:v>
                </c:pt>
                <c:pt idx="27">
                  <c:v>46216</c:v>
                </c:pt>
                <c:pt idx="28">
                  <c:v>46223</c:v>
                </c:pt>
                <c:pt idx="29">
                  <c:v>46230</c:v>
                </c:pt>
                <c:pt idx="30">
                  <c:v>46237</c:v>
                </c:pt>
                <c:pt idx="31">
                  <c:v>46244</c:v>
                </c:pt>
                <c:pt idx="32">
                  <c:v>46251</c:v>
                </c:pt>
                <c:pt idx="33">
                  <c:v>46258</c:v>
                </c:pt>
                <c:pt idx="34">
                  <c:v>46265</c:v>
                </c:pt>
                <c:pt idx="35">
                  <c:v>46272</c:v>
                </c:pt>
                <c:pt idx="36">
                  <c:v>46279</c:v>
                </c:pt>
                <c:pt idx="37">
                  <c:v>46286</c:v>
                </c:pt>
                <c:pt idx="38">
                  <c:v>46293</c:v>
                </c:pt>
                <c:pt idx="39">
                  <c:v>46300</c:v>
                </c:pt>
              </c:numCache>
            </c:numRef>
          </c:cat>
          <c:val>
            <c:numRef>
              <c:f>'Weekly Trend'!$B$2:$B$41</c:f>
              <c:numCache>
                <c:formatCode>General</c:formatCode>
                <c:ptCount val="40"/>
                <c:pt idx="0">
                  <c:v>17886</c:v>
                </c:pt>
                <c:pt idx="1">
                  <c:v>17032</c:v>
                </c:pt>
                <c:pt idx="2">
                  <c:v>17442</c:v>
                </c:pt>
                <c:pt idx="3">
                  <c:v>18359</c:v>
                </c:pt>
                <c:pt idx="4">
                  <c:v>16964</c:v>
                </c:pt>
                <c:pt idx="5">
                  <c:v>16896</c:v>
                </c:pt>
                <c:pt idx="6">
                  <c:v>18066</c:v>
                </c:pt>
                <c:pt idx="7">
                  <c:v>20084</c:v>
                </c:pt>
                <c:pt idx="8">
                  <c:v>16163</c:v>
                </c:pt>
                <c:pt idx="9">
                  <c:v>16651</c:v>
                </c:pt>
                <c:pt idx="10">
                  <c:v>18238</c:v>
                </c:pt>
                <c:pt idx="11">
                  <c:v>17831</c:v>
                </c:pt>
                <c:pt idx="12">
                  <c:v>17512</c:v>
                </c:pt>
                <c:pt idx="13">
                  <c:v>17802</c:v>
                </c:pt>
                <c:pt idx="14">
                  <c:v>16239</c:v>
                </c:pt>
                <c:pt idx="15">
                  <c:v>18095</c:v>
                </c:pt>
                <c:pt idx="16">
                  <c:v>18464</c:v>
                </c:pt>
                <c:pt idx="17">
                  <c:v>17998</c:v>
                </c:pt>
                <c:pt idx="18">
                  <c:v>17107</c:v>
                </c:pt>
                <c:pt idx="19">
                  <c:v>18094</c:v>
                </c:pt>
                <c:pt idx="20">
                  <c:v>17155</c:v>
                </c:pt>
                <c:pt idx="21">
                  <c:v>16198</c:v>
                </c:pt>
                <c:pt idx="22">
                  <c:v>16720</c:v>
                </c:pt>
                <c:pt idx="23">
                  <c:v>17042</c:v>
                </c:pt>
                <c:pt idx="24">
                  <c:v>17239</c:v>
                </c:pt>
                <c:pt idx="25">
                  <c:v>16521</c:v>
                </c:pt>
                <c:pt idx="26">
                  <c:v>16916</c:v>
                </c:pt>
                <c:pt idx="27">
                  <c:v>17303</c:v>
                </c:pt>
                <c:pt idx="28">
                  <c:v>18053</c:v>
                </c:pt>
                <c:pt idx="29">
                  <c:v>16349</c:v>
                </c:pt>
                <c:pt idx="30">
                  <c:v>16729</c:v>
                </c:pt>
                <c:pt idx="31">
                  <c:v>16229</c:v>
                </c:pt>
                <c:pt idx="32">
                  <c:v>17487</c:v>
                </c:pt>
                <c:pt idx="33">
                  <c:v>17474</c:v>
                </c:pt>
                <c:pt idx="34">
                  <c:v>14073</c:v>
                </c:pt>
                <c:pt idx="35">
                  <c:v>17415</c:v>
                </c:pt>
                <c:pt idx="36">
                  <c:v>17291</c:v>
                </c:pt>
                <c:pt idx="37">
                  <c:v>16327</c:v>
                </c:pt>
                <c:pt idx="38">
                  <c:v>15241</c:v>
                </c:pt>
                <c:pt idx="39">
                  <c:v>16934</c:v>
                </c:pt>
              </c:numCache>
            </c:numRef>
          </c:val>
          <c:smooth val="1"/>
          <c:extLst>
            <c:ext xmlns:c16="http://schemas.microsoft.com/office/drawing/2014/chart" uri="{C3380CC4-5D6E-409C-BE32-E72D297353CC}">
              <c16:uniqueId val="{00000000-6727-42FB-A49C-14ED71169118}"/>
            </c:ext>
          </c:extLst>
        </c:ser>
        <c:ser>
          <c:idx val="1"/>
          <c:order val="1"/>
          <c:tx>
            <c:strRef>
              <c:f>'Weekly Trend'!$C$1</c:f>
              <c:strCache>
                <c:ptCount val="1"/>
                <c:pt idx="0">
                  <c:v>Units Produced</c:v>
                </c:pt>
              </c:strCache>
            </c:strRef>
          </c:tx>
          <c:spPr>
            <a:ln>
              <a:prstDash val="solid"/>
            </a:ln>
          </c:spPr>
          <c:marker>
            <c:symbol val="none"/>
          </c:marker>
          <c:cat>
            <c:numRef>
              <c:f>'Weekly Trend'!$A$2:$A$41</c:f>
              <c:numCache>
                <c:formatCode>mmm\ d\,\ yyyy</c:formatCode>
                <c:ptCount val="40"/>
                <c:pt idx="0">
                  <c:v>46027</c:v>
                </c:pt>
                <c:pt idx="1">
                  <c:v>46034</c:v>
                </c:pt>
                <c:pt idx="2">
                  <c:v>46041</c:v>
                </c:pt>
                <c:pt idx="3">
                  <c:v>46048</c:v>
                </c:pt>
                <c:pt idx="4">
                  <c:v>46055</c:v>
                </c:pt>
                <c:pt idx="5">
                  <c:v>46062</c:v>
                </c:pt>
                <c:pt idx="6">
                  <c:v>46069</c:v>
                </c:pt>
                <c:pt idx="7">
                  <c:v>46076</c:v>
                </c:pt>
                <c:pt idx="8">
                  <c:v>46083</c:v>
                </c:pt>
                <c:pt idx="9">
                  <c:v>46090</c:v>
                </c:pt>
                <c:pt idx="10">
                  <c:v>46097</c:v>
                </c:pt>
                <c:pt idx="11">
                  <c:v>46104</c:v>
                </c:pt>
                <c:pt idx="12">
                  <c:v>46111</c:v>
                </c:pt>
                <c:pt idx="13">
                  <c:v>46118</c:v>
                </c:pt>
                <c:pt idx="14">
                  <c:v>46125</c:v>
                </c:pt>
                <c:pt idx="15">
                  <c:v>46132</c:v>
                </c:pt>
                <c:pt idx="16">
                  <c:v>46139</c:v>
                </c:pt>
                <c:pt idx="17">
                  <c:v>46146</c:v>
                </c:pt>
                <c:pt idx="18">
                  <c:v>46153</c:v>
                </c:pt>
                <c:pt idx="19">
                  <c:v>46160</c:v>
                </c:pt>
                <c:pt idx="20">
                  <c:v>46167</c:v>
                </c:pt>
                <c:pt idx="21">
                  <c:v>46174</c:v>
                </c:pt>
                <c:pt idx="22">
                  <c:v>46181</c:v>
                </c:pt>
                <c:pt idx="23">
                  <c:v>46188</c:v>
                </c:pt>
                <c:pt idx="24">
                  <c:v>46195</c:v>
                </c:pt>
                <c:pt idx="25">
                  <c:v>46202</c:v>
                </c:pt>
                <c:pt idx="26">
                  <c:v>46209</c:v>
                </c:pt>
                <c:pt idx="27">
                  <c:v>46216</c:v>
                </c:pt>
                <c:pt idx="28">
                  <c:v>46223</c:v>
                </c:pt>
                <c:pt idx="29">
                  <c:v>46230</c:v>
                </c:pt>
                <c:pt idx="30">
                  <c:v>46237</c:v>
                </c:pt>
                <c:pt idx="31">
                  <c:v>46244</c:v>
                </c:pt>
                <c:pt idx="32">
                  <c:v>46251</c:v>
                </c:pt>
                <c:pt idx="33">
                  <c:v>46258</c:v>
                </c:pt>
                <c:pt idx="34">
                  <c:v>46265</c:v>
                </c:pt>
                <c:pt idx="35">
                  <c:v>46272</c:v>
                </c:pt>
                <c:pt idx="36">
                  <c:v>46279</c:v>
                </c:pt>
                <c:pt idx="37">
                  <c:v>46286</c:v>
                </c:pt>
                <c:pt idx="38">
                  <c:v>46293</c:v>
                </c:pt>
                <c:pt idx="39">
                  <c:v>46300</c:v>
                </c:pt>
              </c:numCache>
            </c:numRef>
          </c:cat>
          <c:val>
            <c:numRef>
              <c:f>'Weekly Trend'!$C$2:$C$41</c:f>
              <c:numCache>
                <c:formatCode>General</c:formatCode>
                <c:ptCount val="40"/>
                <c:pt idx="0">
                  <c:v>17157</c:v>
                </c:pt>
                <c:pt idx="1">
                  <c:v>16713</c:v>
                </c:pt>
                <c:pt idx="2">
                  <c:v>17293</c:v>
                </c:pt>
                <c:pt idx="3">
                  <c:v>18227</c:v>
                </c:pt>
                <c:pt idx="4">
                  <c:v>16955</c:v>
                </c:pt>
                <c:pt idx="5">
                  <c:v>17162</c:v>
                </c:pt>
                <c:pt idx="6">
                  <c:v>18035</c:v>
                </c:pt>
                <c:pt idx="7">
                  <c:v>19898</c:v>
                </c:pt>
                <c:pt idx="8">
                  <c:v>16068</c:v>
                </c:pt>
                <c:pt idx="9">
                  <c:v>15955</c:v>
                </c:pt>
                <c:pt idx="10">
                  <c:v>17238</c:v>
                </c:pt>
                <c:pt idx="11">
                  <c:v>16673</c:v>
                </c:pt>
                <c:pt idx="12">
                  <c:v>16148</c:v>
                </c:pt>
                <c:pt idx="13">
                  <c:v>16699</c:v>
                </c:pt>
                <c:pt idx="14">
                  <c:v>14568</c:v>
                </c:pt>
                <c:pt idx="15">
                  <c:v>16643</c:v>
                </c:pt>
                <c:pt idx="16">
                  <c:v>17054</c:v>
                </c:pt>
                <c:pt idx="17">
                  <c:v>16615</c:v>
                </c:pt>
                <c:pt idx="18">
                  <c:v>16201</c:v>
                </c:pt>
                <c:pt idx="19">
                  <c:v>17249</c:v>
                </c:pt>
                <c:pt idx="20">
                  <c:v>16706</c:v>
                </c:pt>
                <c:pt idx="21">
                  <c:v>15625</c:v>
                </c:pt>
                <c:pt idx="22">
                  <c:v>16464</c:v>
                </c:pt>
                <c:pt idx="23">
                  <c:v>16922</c:v>
                </c:pt>
                <c:pt idx="24">
                  <c:v>17022</c:v>
                </c:pt>
                <c:pt idx="25">
                  <c:v>16503</c:v>
                </c:pt>
                <c:pt idx="26">
                  <c:v>16762</c:v>
                </c:pt>
                <c:pt idx="27">
                  <c:v>16518</c:v>
                </c:pt>
                <c:pt idx="28">
                  <c:v>17369</c:v>
                </c:pt>
                <c:pt idx="29">
                  <c:v>15220</c:v>
                </c:pt>
                <c:pt idx="30">
                  <c:v>15985</c:v>
                </c:pt>
                <c:pt idx="31">
                  <c:v>14936</c:v>
                </c:pt>
                <c:pt idx="32">
                  <c:v>15905</c:v>
                </c:pt>
                <c:pt idx="33">
                  <c:v>15703</c:v>
                </c:pt>
                <c:pt idx="34">
                  <c:v>12916</c:v>
                </c:pt>
                <c:pt idx="35">
                  <c:v>16009</c:v>
                </c:pt>
                <c:pt idx="36">
                  <c:v>15876</c:v>
                </c:pt>
                <c:pt idx="37">
                  <c:v>15338</c:v>
                </c:pt>
                <c:pt idx="38">
                  <c:v>14451</c:v>
                </c:pt>
                <c:pt idx="39">
                  <c:v>16418</c:v>
                </c:pt>
              </c:numCache>
            </c:numRef>
          </c:val>
          <c:smooth val="1"/>
          <c:extLst>
            <c:ext xmlns:c16="http://schemas.microsoft.com/office/drawing/2014/chart" uri="{C3380CC4-5D6E-409C-BE32-E72D297353CC}">
              <c16:uniqueId val="{00000001-6727-42FB-A49C-14ED71169118}"/>
            </c:ext>
          </c:extLst>
        </c:ser>
        <c:dLbls>
          <c:showLegendKey val="0"/>
          <c:showVal val="0"/>
          <c:showCatName val="0"/>
          <c:showSerName val="0"/>
          <c:showPercent val="0"/>
          <c:showBubbleSize val="0"/>
        </c:dLbls>
        <c:smooth val="0"/>
        <c:axId val="10"/>
        <c:axId val="100"/>
      </c:lineChart>
      <c:dateAx>
        <c:axId val="10"/>
        <c:scaling>
          <c:orientation val="minMax"/>
        </c:scaling>
        <c:delete val="1"/>
        <c:axPos val="b"/>
        <c:title>
          <c:tx>
            <c:rich>
              <a:bodyPr/>
              <a:lstStyle/>
              <a:p>
                <a:pPr>
                  <a:defRPr/>
                </a:pPr>
                <a:r>
                  <a:rPr lang="en-US"/>
                  <a:t>Week</a:t>
                </a:r>
              </a:p>
            </c:rich>
          </c:tx>
          <c:overlay val="1"/>
        </c:title>
        <c:numFmt formatCode="mmm\ d\,\ yyyy" sourceLinked="1"/>
        <c:majorTickMark val="none"/>
        <c:minorTickMark val="none"/>
        <c:tickLblPos val="nextTo"/>
        <c:crossAx val="100"/>
        <c:crosses val="autoZero"/>
        <c:auto val="1"/>
        <c:lblOffset val="100"/>
        <c:baseTimeUnit val="days"/>
      </c:dateAx>
      <c:valAx>
        <c:axId val="100"/>
        <c:scaling>
          <c:orientation val="minMax"/>
        </c:scaling>
        <c:delete val="1"/>
        <c:axPos val="l"/>
        <c:majorGridlines/>
        <c:title>
          <c:tx>
            <c:rich>
              <a:bodyPr/>
              <a:lstStyle/>
              <a:p>
                <a:pPr>
                  <a:defRPr/>
                </a:pPr>
                <a:r>
                  <a:rPr lang="en-US"/>
                  <a:t>Units</a:t>
                </a:r>
              </a:p>
            </c:rich>
          </c:tx>
          <c:overlay val="1"/>
        </c:title>
        <c:numFmt formatCode="General"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Units Produced by Plant</a:t>
            </a:r>
          </a:p>
        </c:rich>
      </c:tx>
      <c:overlay val="1"/>
    </c:title>
    <c:autoTitleDeleted val="0"/>
    <c:plotArea>
      <c:layout/>
      <c:barChart>
        <c:barDir val="col"/>
        <c:grouping val="clustered"/>
        <c:varyColors val="1"/>
        <c:ser>
          <c:idx val="0"/>
          <c:order val="0"/>
          <c:tx>
            <c:strRef>
              <c:f>Summary!$B$12</c:f>
              <c:strCache>
                <c:ptCount val="1"/>
                <c:pt idx="0">
                  <c:v>Units Produced</c:v>
                </c:pt>
              </c:strCache>
            </c:strRef>
          </c:tx>
          <c:spPr>
            <a:ln>
              <a:prstDash val="solid"/>
            </a:ln>
          </c:spPr>
          <c:invertIfNegative val="1"/>
          <c:cat>
            <c:strRef>
              <c:f>Summary!$A$13:$A$17</c:f>
              <c:strCache>
                <c:ptCount val="5"/>
                <c:pt idx="0">
                  <c:v>Dearborn Assembly</c:v>
                </c:pt>
                <c:pt idx="1">
                  <c:v>Kansas City Assembly</c:v>
                </c:pt>
                <c:pt idx="2">
                  <c:v>Louisville Assembly</c:v>
                </c:pt>
                <c:pt idx="3">
                  <c:v>Michigan Assembly</c:v>
                </c:pt>
                <c:pt idx="4">
                  <c:v>Oakville Assembly</c:v>
                </c:pt>
              </c:strCache>
            </c:strRef>
          </c:cat>
          <c:val>
            <c:numRef>
              <c:f>Summary!$B$13:$B$17</c:f>
              <c:numCache>
                <c:formatCode>General</c:formatCode>
                <c:ptCount val="5"/>
                <c:pt idx="0">
                  <c:v>133240</c:v>
                </c:pt>
                <c:pt idx="1">
                  <c:v>150496</c:v>
                </c:pt>
                <c:pt idx="2">
                  <c:v>108372</c:v>
                </c:pt>
                <c:pt idx="3">
                  <c:v>136286</c:v>
                </c:pt>
                <c:pt idx="4">
                  <c:v>127892</c:v>
                </c:pt>
              </c:numCache>
            </c:numRef>
          </c:val>
          <c:extLst>
            <c:ext xmlns:c16="http://schemas.microsoft.com/office/drawing/2014/chart" uri="{C3380CC4-5D6E-409C-BE32-E72D297353CC}">
              <c16:uniqueId val="{00000000-4F00-468D-8BEA-957816C9185B}"/>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9</xdr:col>
      <xdr:colOff>0</xdr:colOff>
      <xdr:row>1</xdr:row>
      <xdr:rowOff>0</xdr:rowOff>
    </xdr:from>
    <xdr:ext cx="5400000" cy="288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9</xdr:col>
      <xdr:colOff>0</xdr:colOff>
      <xdr:row>2</xdr:row>
      <xdr:rowOff>0</xdr:rowOff>
    </xdr:from>
    <xdr:ext cx="4320000" cy="252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perationsTable" displayName="OperationsTable" ref="A1:AE601">
  <autoFilter ref="A1:AE601" xr:uid="{00000000-0009-0000-0100-000001000000}"/>
  <tableColumns count="31">
    <tableColumn id="1" xr3:uid="{00000000-0010-0000-0000-000001000000}" name="Record ID"/>
    <tableColumn id="2" xr3:uid="{00000000-0010-0000-0000-000002000000}" name="Week Start"/>
    <tableColumn id="3" xr3:uid="{00000000-0010-0000-0000-000003000000}" name="Month"/>
    <tableColumn id="4" xr3:uid="{00000000-0010-0000-0000-000004000000}" name="Plant"/>
    <tableColumn id="5" xr3:uid="{00000000-0010-0000-0000-000005000000}" name="Region"/>
    <tableColumn id="6" xr3:uid="{00000000-0010-0000-0000-000006000000}" name="Vehicle Program"/>
    <tableColumn id="7" xr3:uid="{00000000-0010-0000-0000-000007000000}" name="Shift"/>
    <tableColumn id="8" xr3:uid="{00000000-0010-0000-0000-000008000000}" name="Supplier"/>
    <tableColumn id="9" xr3:uid="{00000000-0010-0000-0000-000009000000}" name="Component"/>
    <tableColumn id="10" xr3:uid="{00000000-0010-0000-0000-00000A000000}" name="Units Planned"/>
    <tableColumn id="11" xr3:uid="{00000000-0010-0000-0000-00000B000000}" name="Units Produced"/>
    <tableColumn id="12" xr3:uid="{00000000-0010-0000-0000-00000C000000}" name="Defects"/>
    <tableColumn id="13" xr3:uid="{00000000-0010-0000-0000-00000D000000}" name="Rework Units"/>
    <tableColumn id="14" xr3:uid="{00000000-0010-0000-0000-00000E000000}" name="On-Time Shipments"/>
    <tableColumn id="15" xr3:uid="{00000000-0010-0000-0000-00000F000000}" name="Inspection Hours"/>
    <tableColumn id="16" xr3:uid="{00000000-0010-0000-0000-000010000000}" name="Downtime Hours"/>
    <tableColumn id="17" xr3:uid="{00000000-0010-0000-0000-000011000000}" name="Supplier Confirmation"/>
    <tableColumn id="18" xr3:uid="{00000000-0010-0000-0000-000012000000}" name="Missing Calibration Flag"/>
    <tableColumn id="19" xr3:uid="{00000000-0010-0000-0000-000013000000}" name="Saturday Coverage"/>
    <tableColumn id="20" xr3:uid="{00000000-0010-0000-0000-000014000000}" name="Customer Complaints"/>
    <tableColumn id="21" xr3:uid="{00000000-0010-0000-0000-000015000000}" name="Warranty Claims"/>
    <tableColumn id="22" xr3:uid="{00000000-0010-0000-0000-000016000000}" name="Unit Cost ($)"/>
    <tableColumn id="23" xr3:uid="{00000000-0010-0000-0000-000017000000}" name="Scrap Cost ($)"/>
    <tableColumn id="24" xr3:uid="{00000000-0010-0000-0000-000018000000}" name="Notes"/>
    <tableColumn id="25" xr3:uid="{00000000-0010-0000-0000-000019000000}" name="Defect Rate"/>
    <tableColumn id="26" xr3:uid="{00000000-0010-0000-0000-00001A000000}" name="On-Time %"/>
    <tableColumn id="27" xr3:uid="{00000000-0010-0000-0000-00001B000000}" name="Throughput Gap"/>
    <tableColumn id="28" xr3:uid="{00000000-0010-0000-0000-00001C000000}" name="Estimated Scrap Impact ($)"/>
    <tableColumn id="29" xr3:uid="{00000000-0010-0000-0000-00001D000000}" name="Operational Risk Score"/>
    <tableColumn id="30" xr3:uid="{00000000-0010-0000-0000-00001E000000}" name="Risk Band"/>
    <tableColumn id="31" xr3:uid="{00000000-0010-0000-0000-00001F000000}" name="Leadership Atten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lityRiskTable" displayName="QualityRiskTable" ref="A1:S241">
  <autoFilter ref="A1:S241" xr:uid="{00000000-0009-0000-0100-000002000000}"/>
  <tableColumns count="19">
    <tableColumn id="1" xr3:uid="{00000000-0010-0000-0100-000001000000}" name="Risk ID"/>
    <tableColumn id="2" xr3:uid="{00000000-0010-0000-0100-000002000000}" name="Review Date"/>
    <tableColumn id="3" xr3:uid="{00000000-0010-0000-0100-000003000000}" name="Plant"/>
    <tableColumn id="4" xr3:uid="{00000000-0010-0000-0100-000004000000}" name="Vehicle Program"/>
    <tableColumn id="5" xr3:uid="{00000000-0010-0000-0100-000005000000}" name="Supplier"/>
    <tableColumn id="6" xr3:uid="{00000000-0010-0000-0100-000006000000}" name="Component"/>
    <tableColumn id="7" xr3:uid="{00000000-0010-0000-0100-000007000000}" name="Defect Trend"/>
    <tableColumn id="8" xr3:uid="{00000000-0010-0000-0100-000008000000}" name="Calibration Status"/>
    <tableColumn id="9" xr3:uid="{00000000-0010-0000-0100-000009000000}" name="Supplier Readiness"/>
    <tableColumn id="10" xr3:uid="{00000000-0010-0000-0100-00000A000000}" name="Severity"/>
    <tableColumn id="11" xr3:uid="{00000000-0010-0000-0100-00000B000000}" name="Likelihood"/>
    <tableColumn id="12" xr3:uid="{00000000-0010-0000-0100-00000C000000}" name="Customer Impact"/>
    <tableColumn id="13" xr3:uid="{00000000-0010-0000-0100-00000D000000}" name="Estimated Exposure ($)"/>
    <tableColumn id="14" xr3:uid="{00000000-0010-0000-0100-00000E000000}" name="Days Open"/>
    <tableColumn id="15" xr3:uid="{00000000-0010-0000-0100-00000F000000}" name="Risk Threshold"/>
    <tableColumn id="16" xr3:uid="{00000000-0010-0000-0100-000010000000}" name="Risk Score"/>
    <tableColumn id="17" xr3:uid="{00000000-0010-0000-0100-000011000000}" name="Review Status"/>
    <tableColumn id="18" xr3:uid="{00000000-0010-0000-0100-000012000000}" name="Leadership Attention"/>
    <tableColumn id="19" xr3:uid="{00000000-0010-0000-0100-000013000000}" name="Recommended Follow-up"/>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11"/>
  <sheetViews>
    <sheetView showGridLines="0" workbookViewId="0">
      <selection sqref="A1:F1"/>
    </sheetView>
  </sheetViews>
  <sheetFormatPr defaultRowHeight="14.5" x14ac:dyDescent="0.35"/>
  <cols>
    <col min="1" max="1" width="24" customWidth="1"/>
    <col min="2" max="6" width="22" customWidth="1"/>
  </cols>
  <sheetData>
    <row r="1" spans="1:6" ht="26" x14ac:dyDescent="0.6">
      <c r="A1" s="11" t="s">
        <v>0</v>
      </c>
      <c r="B1" s="10"/>
      <c r="C1" s="10"/>
      <c r="D1" s="10"/>
      <c r="E1" s="10"/>
      <c r="F1" s="10"/>
    </row>
    <row r="3" spans="1:6" x14ac:dyDescent="0.35">
      <c r="A3" s="12" t="s">
        <v>1</v>
      </c>
      <c r="B3" s="10"/>
      <c r="C3" s="10"/>
      <c r="D3" s="10"/>
      <c r="E3" s="10"/>
      <c r="F3" s="10"/>
    </row>
    <row r="5" spans="1:6" x14ac:dyDescent="0.35">
      <c r="A5" s="1" t="s">
        <v>2</v>
      </c>
      <c r="B5" s="1" t="s">
        <v>3</v>
      </c>
      <c r="C5" s="1"/>
      <c r="D5" s="1"/>
      <c r="E5" s="1"/>
      <c r="F5" s="1"/>
    </row>
    <row r="6" spans="1:6" ht="42" customHeight="1" x14ac:dyDescent="0.35">
      <c r="A6" s="2" t="s">
        <v>4</v>
      </c>
      <c r="B6" s="9" t="s">
        <v>5</v>
      </c>
      <c r="C6" s="10"/>
      <c r="D6" s="10"/>
      <c r="E6" s="10"/>
      <c r="F6" s="10"/>
    </row>
    <row r="7" spans="1:6" ht="42" customHeight="1" x14ac:dyDescent="0.35">
      <c r="A7" s="2" t="s">
        <v>6</v>
      </c>
      <c r="B7" s="9" t="s">
        <v>7</v>
      </c>
      <c r="C7" s="10"/>
      <c r="D7" s="10"/>
      <c r="E7" s="10"/>
      <c r="F7" s="10"/>
    </row>
    <row r="8" spans="1:6" ht="42" customHeight="1" x14ac:dyDescent="0.35">
      <c r="A8" s="2" t="s">
        <v>8</v>
      </c>
      <c r="B8" s="9" t="s">
        <v>9</v>
      </c>
      <c r="C8" s="10"/>
      <c r="D8" s="10"/>
      <c r="E8" s="10"/>
      <c r="F8" s="10"/>
    </row>
    <row r="9" spans="1:6" ht="42" customHeight="1" x14ac:dyDescent="0.35">
      <c r="A9" s="2" t="s">
        <v>10</v>
      </c>
      <c r="B9" s="9" t="s">
        <v>11</v>
      </c>
      <c r="C9" s="10"/>
      <c r="D9" s="10"/>
      <c r="E9" s="10"/>
      <c r="F9" s="10"/>
    </row>
    <row r="10" spans="1:6" ht="42" customHeight="1" x14ac:dyDescent="0.35">
      <c r="A10" s="2" t="s">
        <v>12</v>
      </c>
      <c r="B10" s="9" t="s">
        <v>13</v>
      </c>
      <c r="C10" s="10"/>
      <c r="D10" s="10"/>
      <c r="E10" s="10"/>
      <c r="F10" s="10"/>
    </row>
    <row r="11" spans="1:6" ht="42" customHeight="1" x14ac:dyDescent="0.35">
      <c r="A11" s="2" t="s">
        <v>14</v>
      </c>
      <c r="B11" s="9" t="s">
        <v>15</v>
      </c>
      <c r="C11" s="10"/>
      <c r="D11" s="10"/>
      <c r="E11" s="10"/>
      <c r="F11" s="10"/>
    </row>
  </sheetData>
  <mergeCells count="8">
    <mergeCell ref="B7:F7"/>
    <mergeCell ref="B6:F6"/>
    <mergeCell ref="B10:F10"/>
    <mergeCell ref="A1:F1"/>
    <mergeCell ref="B11:F11"/>
    <mergeCell ref="B8:F8"/>
    <mergeCell ref="A3:F3"/>
    <mergeCell ref="B9:F9"/>
  </mergeCells>
  <pageMargins left="0.75" right="0.75" top="1" bottom="1" header="0.5" footer="0.5"/>
  <pageSetup fitToHeight="0"/>
  <headerFooter>
    <oddHeader>&amp;CFord-relevant fictional training workbook</oddHeader>
    <oddFooter>&amp;CSynthetic data only — not operational data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23"/>
  <sheetViews>
    <sheetView showGridLines="0" tabSelected="1" workbookViewId="0">
      <selection activeCell="D17" sqref="D17"/>
    </sheetView>
  </sheetViews>
  <sheetFormatPr defaultRowHeight="14.5" x14ac:dyDescent="0.35"/>
  <cols>
    <col min="1" max="1" width="20" customWidth="1"/>
    <col min="2" max="2" width="30" customWidth="1"/>
    <col min="3" max="3" width="38" customWidth="1"/>
  </cols>
  <sheetData>
    <row r="1" spans="1:3" x14ac:dyDescent="0.35">
      <c r="A1" s="1" t="s">
        <v>16</v>
      </c>
      <c r="B1" s="1" t="s">
        <v>17</v>
      </c>
      <c r="C1" s="1" t="s">
        <v>18</v>
      </c>
    </row>
    <row r="2" spans="1:3" x14ac:dyDescent="0.35">
      <c r="A2" t="s">
        <v>19</v>
      </c>
      <c r="B2" t="s">
        <v>20</v>
      </c>
      <c r="C2" t="s">
        <v>21</v>
      </c>
    </row>
    <row r="3" spans="1:3" x14ac:dyDescent="0.35">
      <c r="A3" t="s">
        <v>19</v>
      </c>
      <c r="B3" t="s">
        <v>22</v>
      </c>
      <c r="C3" t="s">
        <v>21</v>
      </c>
    </row>
    <row r="4" spans="1:3" x14ac:dyDescent="0.35">
      <c r="A4" t="s">
        <v>19</v>
      </c>
      <c r="B4" t="s">
        <v>23</v>
      </c>
      <c r="C4" t="s">
        <v>21</v>
      </c>
    </row>
    <row r="5" spans="1:3" x14ac:dyDescent="0.35">
      <c r="A5" t="s">
        <v>19</v>
      </c>
      <c r="B5" t="s">
        <v>24</v>
      </c>
      <c r="C5" t="s">
        <v>21</v>
      </c>
    </row>
    <row r="6" spans="1:3" x14ac:dyDescent="0.35">
      <c r="A6" t="s">
        <v>19</v>
      </c>
      <c r="B6" t="s">
        <v>25</v>
      </c>
      <c r="C6" t="s">
        <v>21</v>
      </c>
    </row>
    <row r="7" spans="1:3" x14ac:dyDescent="0.35">
      <c r="A7" t="s">
        <v>26</v>
      </c>
      <c r="B7" t="s">
        <v>27</v>
      </c>
      <c r="C7" t="s">
        <v>28</v>
      </c>
    </row>
    <row r="8" spans="1:3" x14ac:dyDescent="0.35">
      <c r="A8" t="s">
        <v>26</v>
      </c>
      <c r="B8" t="s">
        <v>29</v>
      </c>
      <c r="C8" t="s">
        <v>28</v>
      </c>
    </row>
    <row r="9" spans="1:3" x14ac:dyDescent="0.35">
      <c r="A9" t="s">
        <v>26</v>
      </c>
      <c r="B9" t="s">
        <v>30</v>
      </c>
      <c r="C9" t="s">
        <v>28</v>
      </c>
    </row>
    <row r="10" spans="1:3" x14ac:dyDescent="0.35">
      <c r="A10" t="s">
        <v>26</v>
      </c>
      <c r="B10" t="s">
        <v>31</v>
      </c>
      <c r="C10" t="s">
        <v>28</v>
      </c>
    </row>
    <row r="11" spans="1:3" x14ac:dyDescent="0.35">
      <c r="A11" t="s">
        <v>26</v>
      </c>
      <c r="B11" t="s">
        <v>32</v>
      </c>
      <c r="C11" t="s">
        <v>28</v>
      </c>
    </row>
    <row r="12" spans="1:3" x14ac:dyDescent="0.35">
      <c r="A12" t="s">
        <v>33</v>
      </c>
      <c r="B12" t="s">
        <v>34</v>
      </c>
      <c r="C12" t="s">
        <v>35</v>
      </c>
    </row>
    <row r="13" spans="1:3" x14ac:dyDescent="0.35">
      <c r="A13" t="s">
        <v>33</v>
      </c>
      <c r="B13" t="s">
        <v>36</v>
      </c>
      <c r="C13" t="s">
        <v>35</v>
      </c>
    </row>
    <row r="14" spans="1:3" x14ac:dyDescent="0.35">
      <c r="A14" t="s">
        <v>33</v>
      </c>
      <c r="B14" t="s">
        <v>37</v>
      </c>
      <c r="C14" t="s">
        <v>35</v>
      </c>
    </row>
    <row r="15" spans="1:3" x14ac:dyDescent="0.35">
      <c r="A15" t="s">
        <v>33</v>
      </c>
      <c r="B15" t="s">
        <v>38</v>
      </c>
      <c r="C15" t="s">
        <v>35</v>
      </c>
    </row>
    <row r="16" spans="1:3" x14ac:dyDescent="0.35">
      <c r="A16" t="s">
        <v>33</v>
      </c>
      <c r="B16" t="s">
        <v>39</v>
      </c>
      <c r="C16" t="s">
        <v>35</v>
      </c>
    </row>
    <row r="17" spans="1:3" x14ac:dyDescent="0.35">
      <c r="A17" t="s">
        <v>33</v>
      </c>
      <c r="B17" t="s">
        <v>40</v>
      </c>
      <c r="C17" t="s">
        <v>35</v>
      </c>
    </row>
    <row r="18" spans="1:3" x14ac:dyDescent="0.35">
      <c r="A18" t="s">
        <v>41</v>
      </c>
      <c r="B18" t="s">
        <v>42</v>
      </c>
      <c r="C18" t="s">
        <v>43</v>
      </c>
    </row>
    <row r="19" spans="1:3" x14ac:dyDescent="0.35">
      <c r="A19" t="s">
        <v>41</v>
      </c>
      <c r="B19" t="s">
        <v>44</v>
      </c>
      <c r="C19" t="s">
        <v>43</v>
      </c>
    </row>
    <row r="20" spans="1:3" x14ac:dyDescent="0.35">
      <c r="A20" t="s">
        <v>41</v>
      </c>
      <c r="B20" t="s">
        <v>45</v>
      </c>
      <c r="C20" t="s">
        <v>43</v>
      </c>
    </row>
    <row r="21" spans="1:3" x14ac:dyDescent="0.35">
      <c r="A21" t="s">
        <v>41</v>
      </c>
      <c r="B21" t="s">
        <v>46</v>
      </c>
      <c r="C21" t="s">
        <v>43</v>
      </c>
    </row>
    <row r="22" spans="1:3" x14ac:dyDescent="0.35">
      <c r="A22" t="s">
        <v>41</v>
      </c>
      <c r="B22" t="s">
        <v>47</v>
      </c>
      <c r="C22" t="s">
        <v>43</v>
      </c>
    </row>
    <row r="23" spans="1:3" x14ac:dyDescent="0.35">
      <c r="A23" t="s">
        <v>41</v>
      </c>
      <c r="B23" t="s">
        <v>48</v>
      </c>
      <c r="C23" t="s">
        <v>43</v>
      </c>
    </row>
  </sheetData>
  <pageMargins left="0.75" right="0.75" top="1" bottom="1" header="0.5" footer="0.5"/>
  <pageSetup fitToHeight="0"/>
  <headerFooter>
    <oddHeader>&amp;CFord-relevant fictional training workbook</oddHeader>
    <oddFooter>&amp;CSynthetic data only — not operational data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E601"/>
  <sheetViews>
    <sheetView showGridLines="0" workbookViewId="0">
      <pane ySplit="1" topLeftCell="A2" activePane="bottomLeft" state="frozen"/>
      <selection pane="bottomLeft"/>
    </sheetView>
  </sheetViews>
  <sheetFormatPr defaultRowHeight="14.5" x14ac:dyDescent="0.35"/>
  <cols>
    <col min="1" max="1" width="14" customWidth="1"/>
    <col min="2" max="2" width="12" customWidth="1"/>
    <col min="3" max="3" width="9" customWidth="1"/>
    <col min="4" max="4" width="23" customWidth="1"/>
    <col min="5" max="5" width="22" customWidth="1"/>
    <col min="6" max="6" width="20" customWidth="1"/>
    <col min="7" max="7" width="10" customWidth="1"/>
    <col min="8" max="8" width="26" customWidth="1"/>
    <col min="9" max="9" width="24" customWidth="1"/>
    <col min="10" max="10" width="14" customWidth="1"/>
    <col min="11" max="11" width="15" customWidth="1"/>
    <col min="12" max="12" width="10" customWidth="1"/>
    <col min="13" max="13" width="12" customWidth="1"/>
    <col min="14" max="14" width="18" customWidth="1"/>
    <col min="15" max="15" width="16" customWidth="1"/>
    <col min="16" max="16" width="15" customWidth="1"/>
    <col min="17" max="18" width="20" customWidth="1"/>
    <col min="19" max="19" width="21" customWidth="1"/>
    <col min="20" max="20" width="18" customWidth="1"/>
    <col min="21" max="21" width="15" customWidth="1"/>
    <col min="22" max="22" width="14" customWidth="1"/>
    <col min="23" max="23" width="16" customWidth="1"/>
    <col min="24" max="24" width="30" customWidth="1"/>
    <col min="25" max="25" width="13" customWidth="1"/>
    <col min="26" max="26" width="12" customWidth="1"/>
    <col min="27" max="27" width="15" customWidth="1"/>
    <col min="28" max="29" width="20" customWidth="1"/>
    <col min="30" max="30" width="12" customWidth="1"/>
    <col min="31" max="31" width="20" customWidth="1"/>
  </cols>
  <sheetData>
    <row r="1" spans="1:31" ht="29" x14ac:dyDescent="0.35">
      <c r="A1" s="4" t="s">
        <v>49</v>
      </c>
      <c r="B1" s="4" t="s">
        <v>50</v>
      </c>
      <c r="C1" s="4" t="s">
        <v>51</v>
      </c>
      <c r="D1" s="4" t="s">
        <v>19</v>
      </c>
      <c r="E1" s="4" t="s">
        <v>52</v>
      </c>
      <c r="F1" s="4" t="s">
        <v>26</v>
      </c>
      <c r="G1" s="4" t="s">
        <v>53</v>
      </c>
      <c r="H1" s="4" t="s">
        <v>33</v>
      </c>
      <c r="I1" s="4" t="s">
        <v>41</v>
      </c>
      <c r="J1" s="4" t="s">
        <v>54</v>
      </c>
      <c r="K1" s="4" t="s">
        <v>55</v>
      </c>
      <c r="L1" s="4" t="s">
        <v>56</v>
      </c>
      <c r="M1" s="4" t="s">
        <v>57</v>
      </c>
      <c r="N1" s="4" t="s">
        <v>58</v>
      </c>
      <c r="O1" s="4" t="s">
        <v>59</v>
      </c>
      <c r="P1" s="4" t="s">
        <v>60</v>
      </c>
      <c r="Q1" s="4" t="s">
        <v>61</v>
      </c>
      <c r="R1" s="4" t="s">
        <v>62</v>
      </c>
      <c r="S1" s="4" t="s">
        <v>63</v>
      </c>
      <c r="T1" s="4" t="s">
        <v>64</v>
      </c>
      <c r="U1" s="4" t="s">
        <v>65</v>
      </c>
      <c r="V1" s="4" t="s">
        <v>66</v>
      </c>
      <c r="W1" s="4" t="s">
        <v>67</v>
      </c>
      <c r="X1" s="4" t="s">
        <v>68</v>
      </c>
      <c r="Y1" s="4" t="s">
        <v>69</v>
      </c>
      <c r="Z1" s="4" t="s">
        <v>70</v>
      </c>
      <c r="AA1" s="4" t="s">
        <v>71</v>
      </c>
      <c r="AB1" s="4" t="s">
        <v>72</v>
      </c>
      <c r="AC1" s="4" t="s">
        <v>73</v>
      </c>
      <c r="AD1" s="4" t="s">
        <v>74</v>
      </c>
      <c r="AE1" s="4" t="s">
        <v>75</v>
      </c>
    </row>
    <row r="2" spans="1:31" x14ac:dyDescent="0.35">
      <c r="A2" t="s">
        <v>76</v>
      </c>
      <c r="B2" s="5">
        <v>46027</v>
      </c>
      <c r="C2" t="s">
        <v>77</v>
      </c>
      <c r="D2" t="s">
        <v>23</v>
      </c>
      <c r="E2" t="s">
        <v>78</v>
      </c>
      <c r="F2" t="s">
        <v>30</v>
      </c>
      <c r="G2" t="s">
        <v>79</v>
      </c>
      <c r="H2" t="s">
        <v>36</v>
      </c>
      <c r="I2" t="s">
        <v>47</v>
      </c>
      <c r="J2">
        <v>1026</v>
      </c>
      <c r="K2">
        <v>952</v>
      </c>
      <c r="L2">
        <v>23</v>
      </c>
      <c r="M2">
        <v>12</v>
      </c>
      <c r="N2">
        <v>926</v>
      </c>
      <c r="O2">
        <v>36.1</v>
      </c>
      <c r="P2">
        <v>8.3000000000000007</v>
      </c>
      <c r="Q2" t="s">
        <v>80</v>
      </c>
      <c r="R2" t="s">
        <v>81</v>
      </c>
      <c r="S2" t="s">
        <v>82</v>
      </c>
      <c r="T2">
        <v>7</v>
      </c>
      <c r="U2">
        <v>2</v>
      </c>
      <c r="V2" s="6">
        <v>90.27</v>
      </c>
      <c r="W2" s="6">
        <v>1506.93</v>
      </c>
      <c r="X2" t="s">
        <v>83</v>
      </c>
      <c r="Y2" s="7">
        <f t="shared" ref="Y2:Y65" si="0">IFERROR(L2/K2,0)</f>
        <v>2.4159663865546219E-2</v>
      </c>
      <c r="Z2" s="7">
        <f t="shared" ref="Z2:Z65" si="1">IFERROR(N2/K2,0)</f>
        <v>0.97268907563025209</v>
      </c>
      <c r="AA2">
        <f t="shared" ref="AA2:AA65" si="2">J2-K2</f>
        <v>74</v>
      </c>
      <c r="AB2" s="8">
        <f t="shared" ref="AB2:AB65" si="3">L2*V2</f>
        <v>2076.21</v>
      </c>
      <c r="AC2">
        <f t="shared" ref="AC2:AC65" si="4">ROUND(MIN(100,(Y2*1000)+(1-Z2)*45+(P2*1.3)+IF(Q2="Late",18,IF(Q2="Pending",10,0))+IF(R2="Yes",20,0)+IF(S2="Decision Required",12,0)),1)</f>
        <v>36.200000000000003</v>
      </c>
      <c r="AD2" t="str">
        <f t="shared" ref="AD2:AD65" si="5">IF(AC2&gt;=65,"High",IF(AC2&gt;=40,"Medium","Low"))</f>
        <v>Low</v>
      </c>
      <c r="AE2" t="str">
        <f t="shared" ref="AE2:AE65" si="6">IF(OR(AD2="High",Q2="Late",R2="Yes",S2="Decision Required"),"Yes","No")</f>
        <v>No</v>
      </c>
    </row>
    <row r="3" spans="1:31" x14ac:dyDescent="0.35">
      <c r="A3" t="s">
        <v>84</v>
      </c>
      <c r="B3" s="5">
        <v>46027</v>
      </c>
      <c r="C3" t="s">
        <v>77</v>
      </c>
      <c r="D3" t="s">
        <v>24</v>
      </c>
      <c r="E3" t="s">
        <v>78</v>
      </c>
      <c r="F3" t="s">
        <v>29</v>
      </c>
      <c r="G3" t="s">
        <v>85</v>
      </c>
      <c r="H3" t="s">
        <v>37</v>
      </c>
      <c r="I3" t="s">
        <v>48</v>
      </c>
      <c r="J3">
        <v>1071</v>
      </c>
      <c r="K3">
        <v>1026</v>
      </c>
      <c r="L3">
        <v>13</v>
      </c>
      <c r="M3">
        <v>6</v>
      </c>
      <c r="N3">
        <v>984</v>
      </c>
      <c r="O3">
        <v>20.3</v>
      </c>
      <c r="P3">
        <v>14.3</v>
      </c>
      <c r="Q3" t="s">
        <v>86</v>
      </c>
      <c r="R3" t="s">
        <v>81</v>
      </c>
      <c r="S3" t="s">
        <v>82</v>
      </c>
      <c r="T3">
        <v>6</v>
      </c>
      <c r="U3">
        <v>0</v>
      </c>
      <c r="V3" s="6">
        <v>356.41</v>
      </c>
      <c r="W3" s="6">
        <v>1548.18</v>
      </c>
      <c r="X3" t="s">
        <v>87</v>
      </c>
      <c r="Y3" s="7">
        <f t="shared" si="0"/>
        <v>1.2670565302144249E-2</v>
      </c>
      <c r="Z3" s="7">
        <f t="shared" si="1"/>
        <v>0.95906432748538006</v>
      </c>
      <c r="AA3">
        <f t="shared" si="2"/>
        <v>45</v>
      </c>
      <c r="AB3" s="8">
        <f t="shared" si="3"/>
        <v>4633.33</v>
      </c>
      <c r="AC3">
        <f t="shared" si="4"/>
        <v>51.1</v>
      </c>
      <c r="AD3" t="str">
        <f t="shared" si="5"/>
        <v>Medium</v>
      </c>
      <c r="AE3" t="str">
        <f t="shared" si="6"/>
        <v>Yes</v>
      </c>
    </row>
    <row r="4" spans="1:31" x14ac:dyDescent="0.35">
      <c r="A4" t="s">
        <v>88</v>
      </c>
      <c r="B4" s="5">
        <v>46027</v>
      </c>
      <c r="C4" t="s">
        <v>77</v>
      </c>
      <c r="D4" t="s">
        <v>25</v>
      </c>
      <c r="E4" t="s">
        <v>89</v>
      </c>
      <c r="F4" t="s">
        <v>32</v>
      </c>
      <c r="G4" t="s">
        <v>90</v>
      </c>
      <c r="H4" t="s">
        <v>40</v>
      </c>
      <c r="I4" t="s">
        <v>47</v>
      </c>
      <c r="J4">
        <v>1025</v>
      </c>
      <c r="K4">
        <v>947</v>
      </c>
      <c r="L4">
        <v>19</v>
      </c>
      <c r="M4">
        <v>13</v>
      </c>
      <c r="N4">
        <v>945</v>
      </c>
      <c r="O4">
        <v>34.200000000000003</v>
      </c>
      <c r="P4">
        <v>2.9</v>
      </c>
      <c r="Q4" t="s">
        <v>80</v>
      </c>
      <c r="R4" t="s">
        <v>81</v>
      </c>
      <c r="S4" t="s">
        <v>82</v>
      </c>
      <c r="T4">
        <v>8</v>
      </c>
      <c r="U4">
        <v>0</v>
      </c>
      <c r="V4" s="6">
        <v>164.46</v>
      </c>
      <c r="W4" s="6">
        <v>1819.22</v>
      </c>
      <c r="X4" t="s">
        <v>91</v>
      </c>
      <c r="Y4" s="7">
        <f t="shared" si="0"/>
        <v>2.0063357972544878E-2</v>
      </c>
      <c r="Z4" s="7">
        <f t="shared" si="1"/>
        <v>0.99788806758183735</v>
      </c>
      <c r="AA4">
        <f t="shared" si="2"/>
        <v>78</v>
      </c>
      <c r="AB4" s="8">
        <f t="shared" si="3"/>
        <v>3124.7400000000002</v>
      </c>
      <c r="AC4">
        <f t="shared" si="4"/>
        <v>23.9</v>
      </c>
      <c r="AD4" t="str">
        <f t="shared" si="5"/>
        <v>Low</v>
      </c>
      <c r="AE4" t="str">
        <f t="shared" si="6"/>
        <v>No</v>
      </c>
    </row>
    <row r="5" spans="1:31" x14ac:dyDescent="0.35">
      <c r="A5" t="s">
        <v>92</v>
      </c>
      <c r="B5" s="5">
        <v>46027</v>
      </c>
      <c r="C5" t="s">
        <v>77</v>
      </c>
      <c r="D5" t="s">
        <v>22</v>
      </c>
      <c r="E5" t="s">
        <v>93</v>
      </c>
      <c r="F5" t="s">
        <v>32</v>
      </c>
      <c r="G5" t="s">
        <v>90</v>
      </c>
      <c r="H5" t="s">
        <v>34</v>
      </c>
      <c r="I5" t="s">
        <v>48</v>
      </c>
      <c r="J5">
        <v>966</v>
      </c>
      <c r="K5">
        <v>844</v>
      </c>
      <c r="L5">
        <v>24</v>
      </c>
      <c r="M5">
        <v>16</v>
      </c>
      <c r="N5">
        <v>803</v>
      </c>
      <c r="O5">
        <v>33.9</v>
      </c>
      <c r="P5">
        <v>17</v>
      </c>
      <c r="Q5" t="s">
        <v>80</v>
      </c>
      <c r="R5" t="s">
        <v>81</v>
      </c>
      <c r="S5" t="s">
        <v>82</v>
      </c>
      <c r="T5">
        <v>3</v>
      </c>
      <c r="U5">
        <v>2</v>
      </c>
      <c r="V5" s="6">
        <v>392.87</v>
      </c>
      <c r="W5" s="6">
        <v>3271.13</v>
      </c>
      <c r="X5" t="s">
        <v>94</v>
      </c>
      <c r="Y5" s="7">
        <f t="shared" si="0"/>
        <v>2.843601895734597E-2</v>
      </c>
      <c r="Z5" s="7">
        <f t="shared" si="1"/>
        <v>0.95142180094786732</v>
      </c>
      <c r="AA5">
        <f t="shared" si="2"/>
        <v>122</v>
      </c>
      <c r="AB5" s="8">
        <f t="shared" si="3"/>
        <v>9428.880000000001</v>
      </c>
      <c r="AC5">
        <f t="shared" si="4"/>
        <v>52.7</v>
      </c>
      <c r="AD5" t="str">
        <f t="shared" si="5"/>
        <v>Medium</v>
      </c>
      <c r="AE5" t="str">
        <f t="shared" si="6"/>
        <v>No</v>
      </c>
    </row>
    <row r="6" spans="1:31" x14ac:dyDescent="0.35">
      <c r="A6" t="s">
        <v>95</v>
      </c>
      <c r="B6" s="5">
        <v>46027</v>
      </c>
      <c r="C6" t="s">
        <v>77</v>
      </c>
      <c r="D6" t="s">
        <v>22</v>
      </c>
      <c r="E6" t="s">
        <v>93</v>
      </c>
      <c r="F6" t="s">
        <v>31</v>
      </c>
      <c r="G6" t="s">
        <v>90</v>
      </c>
      <c r="H6" t="s">
        <v>37</v>
      </c>
      <c r="I6" t="s">
        <v>46</v>
      </c>
      <c r="J6">
        <v>1339</v>
      </c>
      <c r="K6">
        <v>1316</v>
      </c>
      <c r="L6">
        <v>41</v>
      </c>
      <c r="M6">
        <v>16</v>
      </c>
      <c r="N6">
        <v>1196</v>
      </c>
      <c r="O6">
        <v>52</v>
      </c>
      <c r="P6">
        <v>9.1999999999999993</v>
      </c>
      <c r="Q6" t="s">
        <v>96</v>
      </c>
      <c r="R6" t="s">
        <v>81</v>
      </c>
      <c r="S6" t="s">
        <v>82</v>
      </c>
      <c r="T6">
        <v>8</v>
      </c>
      <c r="U6">
        <v>1</v>
      </c>
      <c r="V6" s="6">
        <v>400.08</v>
      </c>
      <c r="W6" s="6">
        <v>7278.3</v>
      </c>
      <c r="X6" t="s">
        <v>94</v>
      </c>
      <c r="Y6" s="7">
        <f t="shared" si="0"/>
        <v>3.115501519756839E-2</v>
      </c>
      <c r="Z6" s="7">
        <f t="shared" si="1"/>
        <v>0.90881458966565354</v>
      </c>
      <c r="AA6">
        <f t="shared" si="2"/>
        <v>23</v>
      </c>
      <c r="AB6" s="8">
        <f t="shared" si="3"/>
        <v>16403.28</v>
      </c>
      <c r="AC6">
        <f t="shared" si="4"/>
        <v>57.2</v>
      </c>
      <c r="AD6" t="str">
        <f t="shared" si="5"/>
        <v>Medium</v>
      </c>
      <c r="AE6" t="str">
        <f t="shared" si="6"/>
        <v>No</v>
      </c>
    </row>
    <row r="7" spans="1:31" x14ac:dyDescent="0.35">
      <c r="A7" t="s">
        <v>97</v>
      </c>
      <c r="B7" s="5">
        <v>46027</v>
      </c>
      <c r="C7" t="s">
        <v>77</v>
      </c>
      <c r="D7" t="s">
        <v>22</v>
      </c>
      <c r="E7" t="s">
        <v>93</v>
      </c>
      <c r="F7" t="s">
        <v>30</v>
      </c>
      <c r="G7" t="s">
        <v>79</v>
      </c>
      <c r="H7" t="s">
        <v>36</v>
      </c>
      <c r="I7" t="s">
        <v>45</v>
      </c>
      <c r="J7">
        <v>1523</v>
      </c>
      <c r="K7">
        <v>1336</v>
      </c>
      <c r="L7">
        <v>46</v>
      </c>
      <c r="M7">
        <v>16</v>
      </c>
      <c r="N7">
        <v>1213</v>
      </c>
      <c r="O7">
        <v>19.8</v>
      </c>
      <c r="P7">
        <v>0</v>
      </c>
      <c r="Q7" t="s">
        <v>96</v>
      </c>
      <c r="R7" t="s">
        <v>81</v>
      </c>
      <c r="S7" t="s">
        <v>82</v>
      </c>
      <c r="T7">
        <v>8</v>
      </c>
      <c r="U7">
        <v>4</v>
      </c>
      <c r="V7" s="6">
        <v>151.38999999999999</v>
      </c>
      <c r="W7" s="6">
        <v>2659.53</v>
      </c>
      <c r="X7" t="s">
        <v>87</v>
      </c>
      <c r="Y7" s="7">
        <f t="shared" si="0"/>
        <v>3.4431137724550899E-2</v>
      </c>
      <c r="Z7" s="7">
        <f t="shared" si="1"/>
        <v>0.90793413173652693</v>
      </c>
      <c r="AA7">
        <f t="shared" si="2"/>
        <v>187</v>
      </c>
      <c r="AB7" s="8">
        <f t="shared" si="3"/>
        <v>6963.94</v>
      </c>
      <c r="AC7">
        <f t="shared" si="4"/>
        <v>48.6</v>
      </c>
      <c r="AD7" t="str">
        <f t="shared" si="5"/>
        <v>Medium</v>
      </c>
      <c r="AE7" t="str">
        <f t="shared" si="6"/>
        <v>No</v>
      </c>
    </row>
    <row r="8" spans="1:31" x14ac:dyDescent="0.35">
      <c r="A8" t="s">
        <v>98</v>
      </c>
      <c r="B8" s="5">
        <v>46027</v>
      </c>
      <c r="C8" t="s">
        <v>77</v>
      </c>
      <c r="D8" t="s">
        <v>20</v>
      </c>
      <c r="E8" t="s">
        <v>78</v>
      </c>
      <c r="F8" t="s">
        <v>31</v>
      </c>
      <c r="G8" t="s">
        <v>79</v>
      </c>
      <c r="H8" t="s">
        <v>37</v>
      </c>
      <c r="I8" t="s">
        <v>42</v>
      </c>
      <c r="J8">
        <v>1155</v>
      </c>
      <c r="K8">
        <v>1069</v>
      </c>
      <c r="L8">
        <v>38</v>
      </c>
      <c r="M8">
        <v>16</v>
      </c>
      <c r="N8">
        <v>980</v>
      </c>
      <c r="O8">
        <v>30.9</v>
      </c>
      <c r="P8">
        <v>1.6</v>
      </c>
      <c r="Q8" t="s">
        <v>80</v>
      </c>
      <c r="R8" t="s">
        <v>99</v>
      </c>
      <c r="S8" t="s">
        <v>100</v>
      </c>
      <c r="T8">
        <v>6</v>
      </c>
      <c r="U8">
        <v>2</v>
      </c>
      <c r="V8" s="6">
        <v>105.83</v>
      </c>
      <c r="W8" s="6">
        <v>1867.81</v>
      </c>
      <c r="X8" t="s">
        <v>94</v>
      </c>
      <c r="Y8" s="7">
        <f t="shared" si="0"/>
        <v>3.5547240411599623E-2</v>
      </c>
      <c r="Z8" s="7">
        <f t="shared" si="1"/>
        <v>0.91674462114125355</v>
      </c>
      <c r="AA8">
        <f t="shared" si="2"/>
        <v>86</v>
      </c>
      <c r="AB8" s="8">
        <f t="shared" si="3"/>
        <v>4021.54</v>
      </c>
      <c r="AC8">
        <f t="shared" si="4"/>
        <v>61.4</v>
      </c>
      <c r="AD8" t="str">
        <f t="shared" si="5"/>
        <v>Medium</v>
      </c>
      <c r="AE8" t="str">
        <f t="shared" si="6"/>
        <v>Yes</v>
      </c>
    </row>
    <row r="9" spans="1:31" x14ac:dyDescent="0.35">
      <c r="A9" t="s">
        <v>101</v>
      </c>
      <c r="B9" s="5">
        <v>46027</v>
      </c>
      <c r="C9" t="s">
        <v>77</v>
      </c>
      <c r="D9" t="s">
        <v>20</v>
      </c>
      <c r="E9" t="s">
        <v>78</v>
      </c>
      <c r="F9" t="s">
        <v>27</v>
      </c>
      <c r="G9" t="s">
        <v>85</v>
      </c>
      <c r="H9" t="s">
        <v>39</v>
      </c>
      <c r="I9" t="s">
        <v>48</v>
      </c>
      <c r="J9">
        <v>1323</v>
      </c>
      <c r="K9">
        <v>1317</v>
      </c>
      <c r="L9">
        <v>36</v>
      </c>
      <c r="M9">
        <v>21</v>
      </c>
      <c r="N9">
        <v>1303</v>
      </c>
      <c r="O9">
        <v>38.1</v>
      </c>
      <c r="P9">
        <v>0</v>
      </c>
      <c r="Q9" t="s">
        <v>80</v>
      </c>
      <c r="R9" t="s">
        <v>81</v>
      </c>
      <c r="S9" t="s">
        <v>82</v>
      </c>
      <c r="T9">
        <v>5</v>
      </c>
      <c r="U9">
        <v>5</v>
      </c>
      <c r="V9" s="6">
        <v>294.73</v>
      </c>
      <c r="W9" s="6">
        <v>6670.89</v>
      </c>
      <c r="X9" t="s">
        <v>94</v>
      </c>
      <c r="Y9" s="7">
        <f t="shared" si="0"/>
        <v>2.7334851936218679E-2</v>
      </c>
      <c r="Z9" s="7">
        <f t="shared" si="1"/>
        <v>0.98936977980258167</v>
      </c>
      <c r="AA9">
        <f t="shared" si="2"/>
        <v>6</v>
      </c>
      <c r="AB9" s="8">
        <f t="shared" si="3"/>
        <v>10610.28</v>
      </c>
      <c r="AC9">
        <f t="shared" si="4"/>
        <v>27.8</v>
      </c>
      <c r="AD9" t="str">
        <f t="shared" si="5"/>
        <v>Low</v>
      </c>
      <c r="AE9" t="str">
        <f t="shared" si="6"/>
        <v>No</v>
      </c>
    </row>
    <row r="10" spans="1:31" x14ac:dyDescent="0.35">
      <c r="A10" t="s">
        <v>102</v>
      </c>
      <c r="B10" s="5">
        <v>46027</v>
      </c>
      <c r="C10" t="s">
        <v>77</v>
      </c>
      <c r="D10" t="s">
        <v>20</v>
      </c>
      <c r="E10" t="s">
        <v>78</v>
      </c>
      <c r="F10" t="s">
        <v>30</v>
      </c>
      <c r="G10" t="s">
        <v>85</v>
      </c>
      <c r="H10" t="s">
        <v>40</v>
      </c>
      <c r="I10" t="s">
        <v>46</v>
      </c>
      <c r="J10">
        <v>848</v>
      </c>
      <c r="K10">
        <v>872</v>
      </c>
      <c r="L10">
        <v>23</v>
      </c>
      <c r="M10">
        <v>11</v>
      </c>
      <c r="N10">
        <v>795</v>
      </c>
      <c r="O10">
        <v>70.8</v>
      </c>
      <c r="P10">
        <v>5.0999999999999996</v>
      </c>
      <c r="Q10" t="s">
        <v>80</v>
      </c>
      <c r="R10" t="s">
        <v>81</v>
      </c>
      <c r="S10" t="s">
        <v>82</v>
      </c>
      <c r="T10">
        <v>5</v>
      </c>
      <c r="U10">
        <v>0</v>
      </c>
      <c r="V10" s="6">
        <v>166.31</v>
      </c>
      <c r="W10" s="6">
        <v>1713.42</v>
      </c>
      <c r="X10" t="s">
        <v>87</v>
      </c>
      <c r="Y10" s="7">
        <f t="shared" si="0"/>
        <v>2.6376146788990827E-2</v>
      </c>
      <c r="Z10" s="7">
        <f t="shared" si="1"/>
        <v>0.91169724770642202</v>
      </c>
      <c r="AA10">
        <f t="shared" si="2"/>
        <v>-24</v>
      </c>
      <c r="AB10" s="8">
        <f t="shared" si="3"/>
        <v>3825.13</v>
      </c>
      <c r="AC10">
        <f t="shared" si="4"/>
        <v>37</v>
      </c>
      <c r="AD10" t="str">
        <f t="shared" si="5"/>
        <v>Low</v>
      </c>
      <c r="AE10" t="str">
        <f t="shared" si="6"/>
        <v>No</v>
      </c>
    </row>
    <row r="11" spans="1:31" x14ac:dyDescent="0.35">
      <c r="A11" t="s">
        <v>103</v>
      </c>
      <c r="B11" s="5">
        <v>46027</v>
      </c>
      <c r="C11" t="s">
        <v>77</v>
      </c>
      <c r="D11" t="s">
        <v>25</v>
      </c>
      <c r="E11" t="s">
        <v>89</v>
      </c>
      <c r="F11" t="s">
        <v>32</v>
      </c>
      <c r="G11" t="s">
        <v>85</v>
      </c>
      <c r="H11" t="s">
        <v>34</v>
      </c>
      <c r="I11" t="s">
        <v>46</v>
      </c>
      <c r="J11">
        <v>1394</v>
      </c>
      <c r="K11">
        <v>1406</v>
      </c>
      <c r="L11">
        <v>13</v>
      </c>
      <c r="M11">
        <v>6</v>
      </c>
      <c r="N11">
        <v>1290</v>
      </c>
      <c r="O11">
        <v>58.4</v>
      </c>
      <c r="P11">
        <v>14.7</v>
      </c>
      <c r="Q11" t="s">
        <v>86</v>
      </c>
      <c r="R11" t="s">
        <v>81</v>
      </c>
      <c r="S11" t="s">
        <v>82</v>
      </c>
      <c r="T11">
        <v>0</v>
      </c>
      <c r="U11">
        <v>3</v>
      </c>
      <c r="V11" s="6">
        <v>85</v>
      </c>
      <c r="W11" s="6">
        <v>595.30999999999995</v>
      </c>
      <c r="X11" t="s">
        <v>94</v>
      </c>
      <c r="Y11" s="7">
        <f t="shared" si="0"/>
        <v>9.2460881934566148E-3</v>
      </c>
      <c r="Z11" s="7">
        <f t="shared" si="1"/>
        <v>0.91749644381223328</v>
      </c>
      <c r="AA11">
        <f t="shared" si="2"/>
        <v>-12</v>
      </c>
      <c r="AB11" s="8">
        <f t="shared" si="3"/>
        <v>1105</v>
      </c>
      <c r="AC11">
        <f t="shared" si="4"/>
        <v>50.1</v>
      </c>
      <c r="AD11" t="str">
        <f t="shared" si="5"/>
        <v>Medium</v>
      </c>
      <c r="AE11" t="str">
        <f t="shared" si="6"/>
        <v>Yes</v>
      </c>
    </row>
    <row r="12" spans="1:31" x14ac:dyDescent="0.35">
      <c r="A12" t="s">
        <v>104</v>
      </c>
      <c r="B12" s="5">
        <v>46027</v>
      </c>
      <c r="C12" t="s">
        <v>77</v>
      </c>
      <c r="D12" t="s">
        <v>24</v>
      </c>
      <c r="E12" t="s">
        <v>78</v>
      </c>
      <c r="F12" t="s">
        <v>30</v>
      </c>
      <c r="G12" t="s">
        <v>90</v>
      </c>
      <c r="H12" t="s">
        <v>38</v>
      </c>
      <c r="I12" t="s">
        <v>42</v>
      </c>
      <c r="J12">
        <v>1182</v>
      </c>
      <c r="K12">
        <v>1166</v>
      </c>
      <c r="L12">
        <v>40</v>
      </c>
      <c r="M12">
        <v>25</v>
      </c>
      <c r="N12">
        <v>1140</v>
      </c>
      <c r="O12">
        <v>18.2</v>
      </c>
      <c r="P12">
        <v>13.7</v>
      </c>
      <c r="Q12" t="s">
        <v>86</v>
      </c>
      <c r="R12" t="s">
        <v>81</v>
      </c>
      <c r="S12" t="s">
        <v>82</v>
      </c>
      <c r="T12">
        <v>7</v>
      </c>
      <c r="U12">
        <v>4</v>
      </c>
      <c r="V12" s="6">
        <v>123.28</v>
      </c>
      <c r="W12" s="6">
        <v>3703.07</v>
      </c>
      <c r="X12" t="s">
        <v>94</v>
      </c>
      <c r="Y12" s="7">
        <f t="shared" si="0"/>
        <v>3.430531732418525E-2</v>
      </c>
      <c r="Z12" s="7">
        <f t="shared" si="1"/>
        <v>0.97770154373927964</v>
      </c>
      <c r="AA12">
        <f t="shared" si="2"/>
        <v>16</v>
      </c>
      <c r="AB12" s="8">
        <f t="shared" si="3"/>
        <v>4931.2</v>
      </c>
      <c r="AC12">
        <f t="shared" si="4"/>
        <v>71.099999999999994</v>
      </c>
      <c r="AD12" t="str">
        <f t="shared" si="5"/>
        <v>High</v>
      </c>
      <c r="AE12" t="str">
        <f t="shared" si="6"/>
        <v>Yes</v>
      </c>
    </row>
    <row r="13" spans="1:31" x14ac:dyDescent="0.35">
      <c r="A13" t="s">
        <v>105</v>
      </c>
      <c r="B13" s="5">
        <v>46027</v>
      </c>
      <c r="C13" t="s">
        <v>77</v>
      </c>
      <c r="D13" t="s">
        <v>25</v>
      </c>
      <c r="E13" t="s">
        <v>89</v>
      </c>
      <c r="F13" t="s">
        <v>32</v>
      </c>
      <c r="G13" t="s">
        <v>79</v>
      </c>
      <c r="H13" t="s">
        <v>34</v>
      </c>
      <c r="I13" t="s">
        <v>44</v>
      </c>
      <c r="J13">
        <v>1232</v>
      </c>
      <c r="K13">
        <v>1130</v>
      </c>
      <c r="L13">
        <v>20</v>
      </c>
      <c r="M13">
        <v>7</v>
      </c>
      <c r="N13">
        <v>1039</v>
      </c>
      <c r="O13">
        <v>36.9</v>
      </c>
      <c r="P13">
        <v>7.4</v>
      </c>
      <c r="Q13" t="s">
        <v>86</v>
      </c>
      <c r="R13" t="s">
        <v>81</v>
      </c>
      <c r="S13" t="s">
        <v>82</v>
      </c>
      <c r="T13">
        <v>5</v>
      </c>
      <c r="U13">
        <v>4</v>
      </c>
      <c r="V13" s="6">
        <v>452.74</v>
      </c>
      <c r="W13" s="6">
        <v>7079.36</v>
      </c>
      <c r="X13" t="s">
        <v>94</v>
      </c>
      <c r="Y13" s="7">
        <f t="shared" si="0"/>
        <v>1.7699115044247787E-2</v>
      </c>
      <c r="Z13" s="7">
        <f t="shared" si="1"/>
        <v>0.91946902654867257</v>
      </c>
      <c r="AA13">
        <f t="shared" si="2"/>
        <v>102</v>
      </c>
      <c r="AB13" s="8">
        <f t="shared" si="3"/>
        <v>9054.7999999999993</v>
      </c>
      <c r="AC13">
        <f t="shared" si="4"/>
        <v>48.9</v>
      </c>
      <c r="AD13" t="str">
        <f t="shared" si="5"/>
        <v>Medium</v>
      </c>
      <c r="AE13" t="str">
        <f t="shared" si="6"/>
        <v>Yes</v>
      </c>
    </row>
    <row r="14" spans="1:31" x14ac:dyDescent="0.35">
      <c r="A14" t="s">
        <v>106</v>
      </c>
      <c r="B14" s="5">
        <v>46027</v>
      </c>
      <c r="C14" t="s">
        <v>77</v>
      </c>
      <c r="D14" t="s">
        <v>24</v>
      </c>
      <c r="E14" t="s">
        <v>78</v>
      </c>
      <c r="F14" t="s">
        <v>32</v>
      </c>
      <c r="G14" t="s">
        <v>79</v>
      </c>
      <c r="H14" t="s">
        <v>38</v>
      </c>
      <c r="I14" t="s">
        <v>42</v>
      </c>
      <c r="J14">
        <v>1339</v>
      </c>
      <c r="K14">
        <v>1422</v>
      </c>
      <c r="L14">
        <v>8</v>
      </c>
      <c r="M14">
        <v>3</v>
      </c>
      <c r="N14">
        <v>1357</v>
      </c>
      <c r="O14">
        <v>63.2</v>
      </c>
      <c r="P14">
        <v>0</v>
      </c>
      <c r="Q14" t="s">
        <v>80</v>
      </c>
      <c r="R14" t="s">
        <v>99</v>
      </c>
      <c r="S14" t="s">
        <v>82</v>
      </c>
      <c r="T14">
        <v>1</v>
      </c>
      <c r="U14">
        <v>2</v>
      </c>
      <c r="V14" s="6">
        <v>99.17</v>
      </c>
      <c r="W14" s="6">
        <v>599.73</v>
      </c>
      <c r="X14" t="s">
        <v>87</v>
      </c>
      <c r="Y14" s="7">
        <f t="shared" si="0"/>
        <v>5.6258790436005627E-3</v>
      </c>
      <c r="Z14" s="7">
        <f t="shared" si="1"/>
        <v>0.95428973277074547</v>
      </c>
      <c r="AA14">
        <f t="shared" si="2"/>
        <v>-83</v>
      </c>
      <c r="AB14" s="8">
        <f t="shared" si="3"/>
        <v>793.36</v>
      </c>
      <c r="AC14">
        <f t="shared" si="4"/>
        <v>27.7</v>
      </c>
      <c r="AD14" t="str">
        <f t="shared" si="5"/>
        <v>Low</v>
      </c>
      <c r="AE14" t="str">
        <f t="shared" si="6"/>
        <v>Yes</v>
      </c>
    </row>
    <row r="15" spans="1:31" x14ac:dyDescent="0.35">
      <c r="A15" t="s">
        <v>107</v>
      </c>
      <c r="B15" s="5">
        <v>46027</v>
      </c>
      <c r="C15" t="s">
        <v>77</v>
      </c>
      <c r="D15" t="s">
        <v>23</v>
      </c>
      <c r="E15" t="s">
        <v>78</v>
      </c>
      <c r="F15" t="s">
        <v>108</v>
      </c>
      <c r="G15" t="s">
        <v>79</v>
      </c>
      <c r="H15" t="s">
        <v>36</v>
      </c>
      <c r="I15" t="s">
        <v>44</v>
      </c>
      <c r="J15">
        <v>1315</v>
      </c>
      <c r="K15">
        <v>1284</v>
      </c>
      <c r="L15">
        <v>31</v>
      </c>
      <c r="M15">
        <v>15</v>
      </c>
      <c r="N15">
        <v>1220</v>
      </c>
      <c r="O15">
        <v>54.7</v>
      </c>
      <c r="P15">
        <v>0</v>
      </c>
      <c r="Q15" t="s">
        <v>80</v>
      </c>
      <c r="R15" t="s">
        <v>81</v>
      </c>
      <c r="S15" t="s">
        <v>82</v>
      </c>
      <c r="T15">
        <v>5</v>
      </c>
      <c r="U15">
        <v>4</v>
      </c>
      <c r="V15" s="6">
        <v>445.66</v>
      </c>
      <c r="W15" s="6">
        <v>3671.43</v>
      </c>
      <c r="X15" t="s">
        <v>94</v>
      </c>
      <c r="Y15" s="7">
        <f t="shared" si="0"/>
        <v>2.4143302180685357E-2</v>
      </c>
      <c r="Z15" s="7">
        <f t="shared" si="1"/>
        <v>0.95015576323987538</v>
      </c>
      <c r="AA15">
        <f t="shared" si="2"/>
        <v>31</v>
      </c>
      <c r="AB15" s="8">
        <f t="shared" si="3"/>
        <v>13815.460000000001</v>
      </c>
      <c r="AC15">
        <f t="shared" si="4"/>
        <v>26.4</v>
      </c>
      <c r="AD15" t="str">
        <f t="shared" si="5"/>
        <v>Low</v>
      </c>
      <c r="AE15" t="str">
        <f t="shared" si="6"/>
        <v>No</v>
      </c>
    </row>
    <row r="16" spans="1:31" x14ac:dyDescent="0.35">
      <c r="A16" t="s">
        <v>109</v>
      </c>
      <c r="B16" s="5">
        <v>46027</v>
      </c>
      <c r="C16" t="s">
        <v>77</v>
      </c>
      <c r="D16" t="s">
        <v>24</v>
      </c>
      <c r="E16" t="s">
        <v>78</v>
      </c>
      <c r="F16" t="s">
        <v>31</v>
      </c>
      <c r="G16" t="s">
        <v>90</v>
      </c>
      <c r="H16" t="s">
        <v>34</v>
      </c>
      <c r="I16" t="s">
        <v>45</v>
      </c>
      <c r="J16">
        <v>1148</v>
      </c>
      <c r="K16">
        <v>1070</v>
      </c>
      <c r="L16">
        <v>43</v>
      </c>
      <c r="M16">
        <v>21</v>
      </c>
      <c r="N16">
        <v>997</v>
      </c>
      <c r="O16">
        <v>73.2</v>
      </c>
      <c r="P16">
        <v>10.1</v>
      </c>
      <c r="Q16" t="s">
        <v>86</v>
      </c>
      <c r="R16" t="s">
        <v>81</v>
      </c>
      <c r="S16" t="s">
        <v>82</v>
      </c>
      <c r="T16">
        <v>5</v>
      </c>
      <c r="U16">
        <v>4</v>
      </c>
      <c r="V16" s="6">
        <v>250.28</v>
      </c>
      <c r="W16" s="6">
        <v>3132.76</v>
      </c>
      <c r="X16" t="s">
        <v>110</v>
      </c>
      <c r="Y16" s="7">
        <f t="shared" si="0"/>
        <v>4.018691588785047E-2</v>
      </c>
      <c r="Z16" s="7">
        <f t="shared" si="1"/>
        <v>0.9317757009345794</v>
      </c>
      <c r="AA16">
        <f t="shared" si="2"/>
        <v>78</v>
      </c>
      <c r="AB16" s="8">
        <f t="shared" si="3"/>
        <v>10762.04</v>
      </c>
      <c r="AC16">
        <f t="shared" si="4"/>
        <v>74.400000000000006</v>
      </c>
      <c r="AD16" t="str">
        <f t="shared" si="5"/>
        <v>High</v>
      </c>
      <c r="AE16" t="str">
        <f t="shared" si="6"/>
        <v>Yes</v>
      </c>
    </row>
    <row r="17" spans="1:31" x14ac:dyDescent="0.35">
      <c r="A17" t="s">
        <v>111</v>
      </c>
      <c r="B17" s="5">
        <v>46034</v>
      </c>
      <c r="C17" t="s">
        <v>77</v>
      </c>
      <c r="D17" t="s">
        <v>24</v>
      </c>
      <c r="E17" t="s">
        <v>78</v>
      </c>
      <c r="F17" t="s">
        <v>27</v>
      </c>
      <c r="G17" t="s">
        <v>85</v>
      </c>
      <c r="H17" t="s">
        <v>36</v>
      </c>
      <c r="I17" t="s">
        <v>44</v>
      </c>
      <c r="J17">
        <v>1432</v>
      </c>
      <c r="K17">
        <v>1405</v>
      </c>
      <c r="L17">
        <v>32</v>
      </c>
      <c r="M17">
        <v>26</v>
      </c>
      <c r="N17">
        <v>1261</v>
      </c>
      <c r="O17">
        <v>48.4</v>
      </c>
      <c r="P17">
        <v>16.3</v>
      </c>
      <c r="Q17" t="s">
        <v>80</v>
      </c>
      <c r="R17" t="s">
        <v>81</v>
      </c>
      <c r="S17" t="s">
        <v>82</v>
      </c>
      <c r="T17">
        <v>5</v>
      </c>
      <c r="U17">
        <v>4</v>
      </c>
      <c r="V17" s="6">
        <v>122.43</v>
      </c>
      <c r="W17" s="6">
        <v>2541.8200000000002</v>
      </c>
      <c r="X17" t="s">
        <v>94</v>
      </c>
      <c r="Y17" s="7">
        <f t="shared" si="0"/>
        <v>2.2775800711743774E-2</v>
      </c>
      <c r="Z17" s="7">
        <f t="shared" si="1"/>
        <v>0.89750889679715307</v>
      </c>
      <c r="AA17">
        <f t="shared" si="2"/>
        <v>27</v>
      </c>
      <c r="AB17" s="8">
        <f t="shared" si="3"/>
        <v>3917.76</v>
      </c>
      <c r="AC17">
        <f t="shared" si="4"/>
        <v>48.6</v>
      </c>
      <c r="AD17" t="str">
        <f t="shared" si="5"/>
        <v>Medium</v>
      </c>
      <c r="AE17" t="str">
        <f t="shared" si="6"/>
        <v>No</v>
      </c>
    </row>
    <row r="18" spans="1:31" x14ac:dyDescent="0.35">
      <c r="A18" t="s">
        <v>112</v>
      </c>
      <c r="B18" s="5">
        <v>46034</v>
      </c>
      <c r="C18" t="s">
        <v>77</v>
      </c>
      <c r="D18" t="s">
        <v>24</v>
      </c>
      <c r="E18" t="s">
        <v>78</v>
      </c>
      <c r="F18" t="s">
        <v>27</v>
      </c>
      <c r="G18" t="s">
        <v>79</v>
      </c>
      <c r="H18" t="s">
        <v>40</v>
      </c>
      <c r="I18" t="s">
        <v>42</v>
      </c>
      <c r="J18">
        <v>1363</v>
      </c>
      <c r="K18">
        <v>1456</v>
      </c>
      <c r="L18">
        <v>14</v>
      </c>
      <c r="M18">
        <v>6</v>
      </c>
      <c r="N18">
        <v>1298</v>
      </c>
      <c r="O18">
        <v>74.2</v>
      </c>
      <c r="P18">
        <v>4.9000000000000004</v>
      </c>
      <c r="Q18" t="s">
        <v>86</v>
      </c>
      <c r="R18" t="s">
        <v>81</v>
      </c>
      <c r="S18" t="s">
        <v>82</v>
      </c>
      <c r="T18">
        <v>0</v>
      </c>
      <c r="U18">
        <v>1</v>
      </c>
      <c r="V18" s="6">
        <v>321.57</v>
      </c>
      <c r="W18" s="6">
        <v>1374.18</v>
      </c>
      <c r="X18" t="s">
        <v>94</v>
      </c>
      <c r="Y18" s="7">
        <f t="shared" si="0"/>
        <v>9.6153846153846159E-3</v>
      </c>
      <c r="Z18" s="7">
        <f t="shared" si="1"/>
        <v>0.89148351648351654</v>
      </c>
      <c r="AA18">
        <f t="shared" si="2"/>
        <v>-93</v>
      </c>
      <c r="AB18" s="8">
        <f t="shared" si="3"/>
        <v>4501.9799999999996</v>
      </c>
      <c r="AC18">
        <f t="shared" si="4"/>
        <v>38.9</v>
      </c>
      <c r="AD18" t="str">
        <f t="shared" si="5"/>
        <v>Low</v>
      </c>
      <c r="AE18" t="str">
        <f t="shared" si="6"/>
        <v>Yes</v>
      </c>
    </row>
    <row r="19" spans="1:31" x14ac:dyDescent="0.35">
      <c r="A19" t="s">
        <v>113</v>
      </c>
      <c r="B19" s="5">
        <v>46034</v>
      </c>
      <c r="C19" t="s">
        <v>77</v>
      </c>
      <c r="D19" t="s">
        <v>20</v>
      </c>
      <c r="E19" t="s">
        <v>78</v>
      </c>
      <c r="F19" t="s">
        <v>30</v>
      </c>
      <c r="G19" t="s">
        <v>79</v>
      </c>
      <c r="H19" t="s">
        <v>39</v>
      </c>
      <c r="I19" t="s">
        <v>46</v>
      </c>
      <c r="J19">
        <v>1299</v>
      </c>
      <c r="K19">
        <v>1297</v>
      </c>
      <c r="L19">
        <v>22</v>
      </c>
      <c r="M19">
        <v>18</v>
      </c>
      <c r="N19">
        <v>1285</v>
      </c>
      <c r="O19">
        <v>30.8</v>
      </c>
      <c r="P19">
        <v>5.3</v>
      </c>
      <c r="Q19" t="s">
        <v>80</v>
      </c>
      <c r="R19" t="s">
        <v>81</v>
      </c>
      <c r="S19" t="s">
        <v>82</v>
      </c>
      <c r="T19">
        <v>6</v>
      </c>
      <c r="U19">
        <v>4</v>
      </c>
      <c r="V19" s="6">
        <v>317.31</v>
      </c>
      <c r="W19" s="6">
        <v>4199.4399999999996</v>
      </c>
      <c r="X19" t="s">
        <v>83</v>
      </c>
      <c r="Y19" s="7">
        <f t="shared" si="0"/>
        <v>1.6962220508866616E-2</v>
      </c>
      <c r="Z19" s="7">
        <f t="shared" si="1"/>
        <v>0.99074787972243639</v>
      </c>
      <c r="AA19">
        <f t="shared" si="2"/>
        <v>2</v>
      </c>
      <c r="AB19" s="8">
        <f t="shared" si="3"/>
        <v>6980.82</v>
      </c>
      <c r="AC19">
        <f t="shared" si="4"/>
        <v>24.3</v>
      </c>
      <c r="AD19" t="str">
        <f t="shared" si="5"/>
        <v>Low</v>
      </c>
      <c r="AE19" t="str">
        <f t="shared" si="6"/>
        <v>No</v>
      </c>
    </row>
    <row r="20" spans="1:31" x14ac:dyDescent="0.35">
      <c r="A20" t="s">
        <v>114</v>
      </c>
      <c r="B20" s="5">
        <v>46034</v>
      </c>
      <c r="C20" t="s">
        <v>77</v>
      </c>
      <c r="D20" t="s">
        <v>24</v>
      </c>
      <c r="E20" t="s">
        <v>78</v>
      </c>
      <c r="F20" t="s">
        <v>29</v>
      </c>
      <c r="G20" t="s">
        <v>79</v>
      </c>
      <c r="H20" t="s">
        <v>38</v>
      </c>
      <c r="I20" t="s">
        <v>44</v>
      </c>
      <c r="J20">
        <v>967</v>
      </c>
      <c r="K20">
        <v>955</v>
      </c>
      <c r="L20">
        <v>14</v>
      </c>
      <c r="M20">
        <v>8</v>
      </c>
      <c r="N20">
        <v>866</v>
      </c>
      <c r="O20">
        <v>44</v>
      </c>
      <c r="P20">
        <v>0</v>
      </c>
      <c r="Q20" t="s">
        <v>80</v>
      </c>
      <c r="R20" t="s">
        <v>81</v>
      </c>
      <c r="S20" t="s">
        <v>82</v>
      </c>
      <c r="T20">
        <v>0</v>
      </c>
      <c r="U20">
        <v>0</v>
      </c>
      <c r="V20" s="6">
        <v>388.55</v>
      </c>
      <c r="W20" s="6">
        <v>2307.15</v>
      </c>
      <c r="X20" t="s">
        <v>115</v>
      </c>
      <c r="Y20" s="7">
        <f t="shared" si="0"/>
        <v>1.4659685863874346E-2</v>
      </c>
      <c r="Z20" s="7">
        <f t="shared" si="1"/>
        <v>0.90680628272251307</v>
      </c>
      <c r="AA20">
        <f t="shared" si="2"/>
        <v>12</v>
      </c>
      <c r="AB20" s="8">
        <f t="shared" si="3"/>
        <v>5439.7</v>
      </c>
      <c r="AC20">
        <f t="shared" si="4"/>
        <v>18.899999999999999</v>
      </c>
      <c r="AD20" t="str">
        <f t="shared" si="5"/>
        <v>Low</v>
      </c>
      <c r="AE20" t="str">
        <f t="shared" si="6"/>
        <v>No</v>
      </c>
    </row>
    <row r="21" spans="1:31" x14ac:dyDescent="0.35">
      <c r="A21" t="s">
        <v>116</v>
      </c>
      <c r="B21" s="5">
        <v>46034</v>
      </c>
      <c r="C21" t="s">
        <v>77</v>
      </c>
      <c r="D21" t="s">
        <v>24</v>
      </c>
      <c r="E21" t="s">
        <v>78</v>
      </c>
      <c r="F21" t="s">
        <v>27</v>
      </c>
      <c r="G21" t="s">
        <v>79</v>
      </c>
      <c r="H21" t="s">
        <v>36</v>
      </c>
      <c r="I21" t="s">
        <v>46</v>
      </c>
      <c r="J21">
        <v>843</v>
      </c>
      <c r="K21">
        <v>848</v>
      </c>
      <c r="L21">
        <v>16</v>
      </c>
      <c r="M21">
        <v>12</v>
      </c>
      <c r="N21">
        <v>802</v>
      </c>
      <c r="O21">
        <v>45.1</v>
      </c>
      <c r="P21">
        <v>5.2</v>
      </c>
      <c r="Q21" t="s">
        <v>96</v>
      </c>
      <c r="R21" t="s">
        <v>81</v>
      </c>
      <c r="S21" t="s">
        <v>100</v>
      </c>
      <c r="T21">
        <v>3</v>
      </c>
      <c r="U21">
        <v>2</v>
      </c>
      <c r="V21" s="6">
        <v>359.83</v>
      </c>
      <c r="W21" s="6">
        <v>1491.32</v>
      </c>
      <c r="X21" t="s">
        <v>94</v>
      </c>
      <c r="Y21" s="7">
        <f t="shared" si="0"/>
        <v>1.8867924528301886E-2</v>
      </c>
      <c r="Z21" s="7">
        <f t="shared" si="1"/>
        <v>0.94575471698113212</v>
      </c>
      <c r="AA21">
        <f t="shared" si="2"/>
        <v>-5</v>
      </c>
      <c r="AB21" s="8">
        <f t="shared" si="3"/>
        <v>5757.28</v>
      </c>
      <c r="AC21">
        <f t="shared" si="4"/>
        <v>38.1</v>
      </c>
      <c r="AD21" t="str">
        <f t="shared" si="5"/>
        <v>Low</v>
      </c>
      <c r="AE21" t="str">
        <f t="shared" si="6"/>
        <v>No</v>
      </c>
    </row>
    <row r="22" spans="1:31" x14ac:dyDescent="0.35">
      <c r="A22" t="s">
        <v>117</v>
      </c>
      <c r="B22" s="5">
        <v>46034</v>
      </c>
      <c r="C22" t="s">
        <v>77</v>
      </c>
      <c r="D22" t="s">
        <v>24</v>
      </c>
      <c r="E22" t="s">
        <v>78</v>
      </c>
      <c r="F22" t="s">
        <v>30</v>
      </c>
      <c r="G22" t="s">
        <v>90</v>
      </c>
      <c r="H22" t="s">
        <v>34</v>
      </c>
      <c r="I22" t="s">
        <v>45</v>
      </c>
      <c r="J22">
        <v>1062</v>
      </c>
      <c r="K22">
        <v>1113</v>
      </c>
      <c r="L22">
        <v>49</v>
      </c>
      <c r="M22">
        <v>35</v>
      </c>
      <c r="N22">
        <v>1089</v>
      </c>
      <c r="O22">
        <v>35.9</v>
      </c>
      <c r="P22">
        <v>16.7</v>
      </c>
      <c r="Q22" t="s">
        <v>80</v>
      </c>
      <c r="R22" t="s">
        <v>81</v>
      </c>
      <c r="S22" t="s">
        <v>82</v>
      </c>
      <c r="T22">
        <v>12</v>
      </c>
      <c r="U22">
        <v>5</v>
      </c>
      <c r="V22" s="6">
        <v>321.73</v>
      </c>
      <c r="W22" s="6">
        <v>7978.52</v>
      </c>
      <c r="X22" t="s">
        <v>94</v>
      </c>
      <c r="Y22" s="7">
        <f t="shared" si="0"/>
        <v>4.40251572327044E-2</v>
      </c>
      <c r="Z22" s="7">
        <f t="shared" si="1"/>
        <v>0.97843665768194066</v>
      </c>
      <c r="AA22">
        <f t="shared" si="2"/>
        <v>-51</v>
      </c>
      <c r="AB22" s="8">
        <f t="shared" si="3"/>
        <v>15764.77</v>
      </c>
      <c r="AC22">
        <f t="shared" si="4"/>
        <v>66.7</v>
      </c>
      <c r="AD22" t="str">
        <f t="shared" si="5"/>
        <v>High</v>
      </c>
      <c r="AE22" t="str">
        <f t="shared" si="6"/>
        <v>Yes</v>
      </c>
    </row>
    <row r="23" spans="1:31" x14ac:dyDescent="0.35">
      <c r="A23" t="s">
        <v>118</v>
      </c>
      <c r="B23" s="5">
        <v>46034</v>
      </c>
      <c r="C23" t="s">
        <v>77</v>
      </c>
      <c r="D23" t="s">
        <v>22</v>
      </c>
      <c r="E23" t="s">
        <v>93</v>
      </c>
      <c r="F23" t="s">
        <v>29</v>
      </c>
      <c r="G23" t="s">
        <v>90</v>
      </c>
      <c r="H23" t="s">
        <v>38</v>
      </c>
      <c r="I23" t="s">
        <v>48</v>
      </c>
      <c r="J23">
        <v>1431</v>
      </c>
      <c r="K23">
        <v>1455</v>
      </c>
      <c r="L23">
        <v>35</v>
      </c>
      <c r="M23">
        <v>14</v>
      </c>
      <c r="N23">
        <v>1377</v>
      </c>
      <c r="O23">
        <v>75.599999999999994</v>
      </c>
      <c r="P23">
        <v>0</v>
      </c>
      <c r="Q23" t="s">
        <v>80</v>
      </c>
      <c r="R23" t="s">
        <v>81</v>
      </c>
      <c r="S23" t="s">
        <v>82</v>
      </c>
      <c r="T23">
        <v>6</v>
      </c>
      <c r="U23">
        <v>7</v>
      </c>
      <c r="V23" s="6">
        <v>174.83</v>
      </c>
      <c r="W23" s="6">
        <v>4595.62</v>
      </c>
      <c r="X23" t="s">
        <v>94</v>
      </c>
      <c r="Y23" s="7">
        <f t="shared" si="0"/>
        <v>2.4054982817869417E-2</v>
      </c>
      <c r="Z23" s="7">
        <f t="shared" si="1"/>
        <v>0.94639175257731956</v>
      </c>
      <c r="AA23">
        <f t="shared" si="2"/>
        <v>-24</v>
      </c>
      <c r="AB23" s="8">
        <f t="shared" si="3"/>
        <v>6119.05</v>
      </c>
      <c r="AC23">
        <f t="shared" si="4"/>
        <v>26.5</v>
      </c>
      <c r="AD23" t="str">
        <f t="shared" si="5"/>
        <v>Low</v>
      </c>
      <c r="AE23" t="str">
        <f t="shared" si="6"/>
        <v>No</v>
      </c>
    </row>
    <row r="24" spans="1:31" x14ac:dyDescent="0.35">
      <c r="A24" t="s">
        <v>119</v>
      </c>
      <c r="B24" s="5">
        <v>46034</v>
      </c>
      <c r="C24" t="s">
        <v>77</v>
      </c>
      <c r="D24" t="s">
        <v>23</v>
      </c>
      <c r="E24" t="s">
        <v>78</v>
      </c>
      <c r="F24" t="s">
        <v>27</v>
      </c>
      <c r="G24" t="s">
        <v>90</v>
      </c>
      <c r="H24" t="s">
        <v>40</v>
      </c>
      <c r="I24" t="s">
        <v>47</v>
      </c>
      <c r="J24">
        <v>1204</v>
      </c>
      <c r="K24">
        <v>1156</v>
      </c>
      <c r="L24">
        <v>30</v>
      </c>
      <c r="M24">
        <v>15</v>
      </c>
      <c r="N24">
        <v>1080</v>
      </c>
      <c r="O24">
        <v>33.9</v>
      </c>
      <c r="P24">
        <v>0</v>
      </c>
      <c r="Q24" t="s">
        <v>86</v>
      </c>
      <c r="R24" t="s">
        <v>81</v>
      </c>
      <c r="S24" t="s">
        <v>82</v>
      </c>
      <c r="T24">
        <v>8</v>
      </c>
      <c r="U24">
        <v>3</v>
      </c>
      <c r="V24" s="6">
        <v>181.49</v>
      </c>
      <c r="W24" s="6">
        <v>2798.99</v>
      </c>
      <c r="X24" t="s">
        <v>94</v>
      </c>
      <c r="Y24" s="7">
        <f t="shared" si="0"/>
        <v>2.5951557093425604E-2</v>
      </c>
      <c r="Z24" s="7">
        <f t="shared" si="1"/>
        <v>0.93425605536332179</v>
      </c>
      <c r="AA24">
        <f t="shared" si="2"/>
        <v>48</v>
      </c>
      <c r="AB24" s="8">
        <f t="shared" si="3"/>
        <v>5444.7000000000007</v>
      </c>
      <c r="AC24">
        <f t="shared" si="4"/>
        <v>46.9</v>
      </c>
      <c r="AD24" t="str">
        <f t="shared" si="5"/>
        <v>Medium</v>
      </c>
      <c r="AE24" t="str">
        <f t="shared" si="6"/>
        <v>Yes</v>
      </c>
    </row>
    <row r="25" spans="1:31" x14ac:dyDescent="0.35">
      <c r="A25" t="s">
        <v>120</v>
      </c>
      <c r="B25" s="5">
        <v>46034</v>
      </c>
      <c r="C25" t="s">
        <v>77</v>
      </c>
      <c r="D25" t="s">
        <v>23</v>
      </c>
      <c r="E25" t="s">
        <v>78</v>
      </c>
      <c r="F25" t="s">
        <v>30</v>
      </c>
      <c r="G25" t="s">
        <v>90</v>
      </c>
      <c r="H25" t="s">
        <v>40</v>
      </c>
      <c r="I25" t="s">
        <v>44</v>
      </c>
      <c r="J25">
        <v>1271</v>
      </c>
      <c r="K25">
        <v>1255</v>
      </c>
      <c r="L25">
        <v>22</v>
      </c>
      <c r="M25">
        <v>9</v>
      </c>
      <c r="N25">
        <v>1202</v>
      </c>
      <c r="O25">
        <v>50.4</v>
      </c>
      <c r="P25">
        <v>10.3</v>
      </c>
      <c r="Q25" t="s">
        <v>86</v>
      </c>
      <c r="R25" t="s">
        <v>81</v>
      </c>
      <c r="S25" t="s">
        <v>100</v>
      </c>
      <c r="T25">
        <v>2</v>
      </c>
      <c r="U25">
        <v>2</v>
      </c>
      <c r="V25" s="6">
        <v>324</v>
      </c>
      <c r="W25" s="6">
        <v>5689.39</v>
      </c>
      <c r="X25" t="s">
        <v>121</v>
      </c>
      <c r="Y25" s="7">
        <f t="shared" si="0"/>
        <v>1.752988047808765E-2</v>
      </c>
      <c r="Z25" s="7">
        <f t="shared" si="1"/>
        <v>0.95776892430278882</v>
      </c>
      <c r="AA25">
        <f t="shared" si="2"/>
        <v>16</v>
      </c>
      <c r="AB25" s="8">
        <f t="shared" si="3"/>
        <v>7128</v>
      </c>
      <c r="AC25">
        <f t="shared" si="4"/>
        <v>50.8</v>
      </c>
      <c r="AD25" t="str">
        <f t="shared" si="5"/>
        <v>Medium</v>
      </c>
      <c r="AE25" t="str">
        <f t="shared" si="6"/>
        <v>Yes</v>
      </c>
    </row>
    <row r="26" spans="1:31" x14ac:dyDescent="0.35">
      <c r="A26" t="s">
        <v>122</v>
      </c>
      <c r="B26" s="5">
        <v>46034</v>
      </c>
      <c r="C26" t="s">
        <v>77</v>
      </c>
      <c r="D26" t="s">
        <v>25</v>
      </c>
      <c r="E26" t="s">
        <v>89</v>
      </c>
      <c r="F26" t="s">
        <v>32</v>
      </c>
      <c r="G26" t="s">
        <v>85</v>
      </c>
      <c r="H26" t="s">
        <v>36</v>
      </c>
      <c r="I26" t="s">
        <v>48</v>
      </c>
      <c r="J26">
        <v>1062</v>
      </c>
      <c r="K26">
        <v>989</v>
      </c>
      <c r="L26">
        <v>34</v>
      </c>
      <c r="M26">
        <v>17</v>
      </c>
      <c r="N26">
        <v>958</v>
      </c>
      <c r="O26">
        <v>22.4</v>
      </c>
      <c r="P26">
        <v>0</v>
      </c>
      <c r="Q26" t="s">
        <v>80</v>
      </c>
      <c r="R26" t="s">
        <v>81</v>
      </c>
      <c r="S26" t="s">
        <v>82</v>
      </c>
      <c r="T26">
        <v>4</v>
      </c>
      <c r="U26">
        <v>3</v>
      </c>
      <c r="V26" s="6">
        <v>342.6</v>
      </c>
      <c r="W26" s="6">
        <v>5977.13</v>
      </c>
      <c r="X26" t="s">
        <v>94</v>
      </c>
      <c r="Y26" s="7">
        <f t="shared" si="0"/>
        <v>3.4378159757330634E-2</v>
      </c>
      <c r="Z26" s="7">
        <f t="shared" si="1"/>
        <v>0.96865520728008092</v>
      </c>
      <c r="AA26">
        <f t="shared" si="2"/>
        <v>73</v>
      </c>
      <c r="AB26" s="8">
        <f t="shared" si="3"/>
        <v>11648.400000000001</v>
      </c>
      <c r="AC26">
        <f t="shared" si="4"/>
        <v>35.799999999999997</v>
      </c>
      <c r="AD26" t="str">
        <f t="shared" si="5"/>
        <v>Low</v>
      </c>
      <c r="AE26" t="str">
        <f t="shared" si="6"/>
        <v>No</v>
      </c>
    </row>
    <row r="27" spans="1:31" x14ac:dyDescent="0.35">
      <c r="A27" t="s">
        <v>123</v>
      </c>
      <c r="B27" s="5">
        <v>46034</v>
      </c>
      <c r="C27" t="s">
        <v>77</v>
      </c>
      <c r="D27" t="s">
        <v>22</v>
      </c>
      <c r="E27" t="s">
        <v>93</v>
      </c>
      <c r="F27" t="s">
        <v>30</v>
      </c>
      <c r="G27" t="s">
        <v>85</v>
      </c>
      <c r="H27" t="s">
        <v>37</v>
      </c>
      <c r="I27" t="s">
        <v>48</v>
      </c>
      <c r="J27">
        <v>1011</v>
      </c>
      <c r="K27">
        <v>924</v>
      </c>
      <c r="L27">
        <v>23</v>
      </c>
      <c r="M27">
        <v>16</v>
      </c>
      <c r="N27">
        <v>895</v>
      </c>
      <c r="O27">
        <v>65.400000000000006</v>
      </c>
      <c r="P27">
        <v>0</v>
      </c>
      <c r="Q27" t="s">
        <v>80</v>
      </c>
      <c r="R27" t="s">
        <v>81</v>
      </c>
      <c r="S27" t="s">
        <v>82</v>
      </c>
      <c r="T27">
        <v>8</v>
      </c>
      <c r="U27">
        <v>6</v>
      </c>
      <c r="V27" s="6">
        <v>383.24</v>
      </c>
      <c r="W27" s="6">
        <v>4729.68</v>
      </c>
      <c r="X27" t="s">
        <v>110</v>
      </c>
      <c r="Y27" s="7">
        <f t="shared" si="0"/>
        <v>2.4891774891774892E-2</v>
      </c>
      <c r="Z27" s="7">
        <f t="shared" si="1"/>
        <v>0.9686147186147186</v>
      </c>
      <c r="AA27">
        <f t="shared" si="2"/>
        <v>87</v>
      </c>
      <c r="AB27" s="8">
        <f t="shared" si="3"/>
        <v>8814.52</v>
      </c>
      <c r="AC27">
        <f t="shared" si="4"/>
        <v>26.3</v>
      </c>
      <c r="AD27" t="str">
        <f t="shared" si="5"/>
        <v>Low</v>
      </c>
      <c r="AE27" t="str">
        <f t="shared" si="6"/>
        <v>No</v>
      </c>
    </row>
    <row r="28" spans="1:31" x14ac:dyDescent="0.35">
      <c r="A28" t="s">
        <v>124</v>
      </c>
      <c r="B28" s="5">
        <v>46034</v>
      </c>
      <c r="C28" t="s">
        <v>77</v>
      </c>
      <c r="D28" t="s">
        <v>23</v>
      </c>
      <c r="E28" t="s">
        <v>78</v>
      </c>
      <c r="F28" t="s">
        <v>31</v>
      </c>
      <c r="G28" t="s">
        <v>90</v>
      </c>
      <c r="H28" t="s">
        <v>37</v>
      </c>
      <c r="I28" t="s">
        <v>45</v>
      </c>
      <c r="J28">
        <v>983</v>
      </c>
      <c r="K28">
        <v>906</v>
      </c>
      <c r="L28">
        <v>14</v>
      </c>
      <c r="M28">
        <v>9</v>
      </c>
      <c r="N28">
        <v>878</v>
      </c>
      <c r="O28">
        <v>18.7</v>
      </c>
      <c r="P28">
        <v>0</v>
      </c>
      <c r="Q28" t="s">
        <v>86</v>
      </c>
      <c r="R28" t="s">
        <v>81</v>
      </c>
      <c r="S28" t="s">
        <v>82</v>
      </c>
      <c r="T28">
        <v>4</v>
      </c>
      <c r="U28">
        <v>3</v>
      </c>
      <c r="V28" s="6">
        <v>211.67</v>
      </c>
      <c r="W28" s="6">
        <v>2328.66</v>
      </c>
      <c r="X28" t="s">
        <v>121</v>
      </c>
      <c r="Y28" s="7">
        <f t="shared" si="0"/>
        <v>1.5452538631346579E-2</v>
      </c>
      <c r="Z28" s="7">
        <f t="shared" si="1"/>
        <v>0.9690949227373068</v>
      </c>
      <c r="AA28">
        <f t="shared" si="2"/>
        <v>77</v>
      </c>
      <c r="AB28" s="8">
        <f t="shared" si="3"/>
        <v>2963.3799999999997</v>
      </c>
      <c r="AC28">
        <f t="shared" si="4"/>
        <v>34.799999999999997</v>
      </c>
      <c r="AD28" t="str">
        <f t="shared" si="5"/>
        <v>Low</v>
      </c>
      <c r="AE28" t="str">
        <f t="shared" si="6"/>
        <v>Yes</v>
      </c>
    </row>
    <row r="29" spans="1:31" x14ac:dyDescent="0.35">
      <c r="A29" t="s">
        <v>125</v>
      </c>
      <c r="B29" s="5">
        <v>46034</v>
      </c>
      <c r="C29" t="s">
        <v>77</v>
      </c>
      <c r="D29" t="s">
        <v>25</v>
      </c>
      <c r="E29" t="s">
        <v>89</v>
      </c>
      <c r="F29" t="s">
        <v>30</v>
      </c>
      <c r="G29" t="s">
        <v>79</v>
      </c>
      <c r="H29" t="s">
        <v>34</v>
      </c>
      <c r="I29" t="s">
        <v>42</v>
      </c>
      <c r="J29">
        <v>1245</v>
      </c>
      <c r="K29">
        <v>1169</v>
      </c>
      <c r="L29">
        <v>39</v>
      </c>
      <c r="M29">
        <v>28</v>
      </c>
      <c r="N29">
        <v>1062</v>
      </c>
      <c r="O29">
        <v>25.7</v>
      </c>
      <c r="P29">
        <v>4.5</v>
      </c>
      <c r="Q29" t="s">
        <v>80</v>
      </c>
      <c r="R29" t="s">
        <v>81</v>
      </c>
      <c r="S29" t="s">
        <v>82</v>
      </c>
      <c r="T29">
        <v>6</v>
      </c>
      <c r="U29">
        <v>3</v>
      </c>
      <c r="V29" s="6">
        <v>357.33</v>
      </c>
      <c r="W29" s="6">
        <v>9538.26</v>
      </c>
      <c r="X29" t="s">
        <v>94</v>
      </c>
      <c r="Y29" s="7">
        <f t="shared" si="0"/>
        <v>3.3361847733105215E-2</v>
      </c>
      <c r="Z29" s="7">
        <f t="shared" si="1"/>
        <v>0.90846877673224979</v>
      </c>
      <c r="AA29">
        <f t="shared" si="2"/>
        <v>76</v>
      </c>
      <c r="AB29" s="8">
        <f t="shared" si="3"/>
        <v>13935.869999999999</v>
      </c>
      <c r="AC29">
        <f t="shared" si="4"/>
        <v>43.3</v>
      </c>
      <c r="AD29" t="str">
        <f t="shared" si="5"/>
        <v>Medium</v>
      </c>
      <c r="AE29" t="str">
        <f t="shared" si="6"/>
        <v>No</v>
      </c>
    </row>
    <row r="30" spans="1:31" x14ac:dyDescent="0.35">
      <c r="A30" t="s">
        <v>126</v>
      </c>
      <c r="B30" s="5">
        <v>46034</v>
      </c>
      <c r="C30" t="s">
        <v>77</v>
      </c>
      <c r="D30" t="s">
        <v>23</v>
      </c>
      <c r="E30" t="s">
        <v>78</v>
      </c>
      <c r="F30" t="s">
        <v>29</v>
      </c>
      <c r="G30" t="s">
        <v>90</v>
      </c>
      <c r="H30" t="s">
        <v>40</v>
      </c>
      <c r="I30" t="s">
        <v>42</v>
      </c>
      <c r="J30">
        <v>1036</v>
      </c>
      <c r="K30">
        <v>942</v>
      </c>
      <c r="L30">
        <v>24</v>
      </c>
      <c r="M30">
        <v>13</v>
      </c>
      <c r="N30">
        <v>906</v>
      </c>
      <c r="O30">
        <v>30.5</v>
      </c>
      <c r="P30">
        <v>9</v>
      </c>
      <c r="Q30" t="s">
        <v>86</v>
      </c>
      <c r="R30" t="s">
        <v>81</v>
      </c>
      <c r="S30" t="s">
        <v>82</v>
      </c>
      <c r="T30">
        <v>3</v>
      </c>
      <c r="U30">
        <v>3</v>
      </c>
      <c r="V30" s="6">
        <v>71.510000000000005</v>
      </c>
      <c r="W30" s="6">
        <v>1026.07</v>
      </c>
      <c r="X30" t="s">
        <v>87</v>
      </c>
      <c r="Y30" s="7">
        <f t="shared" si="0"/>
        <v>2.5477707006369428E-2</v>
      </c>
      <c r="Z30" s="7">
        <f t="shared" si="1"/>
        <v>0.96178343949044587</v>
      </c>
      <c r="AA30">
        <f t="shared" si="2"/>
        <v>94</v>
      </c>
      <c r="AB30" s="8">
        <f t="shared" si="3"/>
        <v>1716.2400000000002</v>
      </c>
      <c r="AC30">
        <f t="shared" si="4"/>
        <v>56.9</v>
      </c>
      <c r="AD30" t="str">
        <f t="shared" si="5"/>
        <v>Medium</v>
      </c>
      <c r="AE30" t="str">
        <f t="shared" si="6"/>
        <v>Yes</v>
      </c>
    </row>
    <row r="31" spans="1:31" x14ac:dyDescent="0.35">
      <c r="A31" t="s">
        <v>127</v>
      </c>
      <c r="B31" s="5">
        <v>46034</v>
      </c>
      <c r="C31" t="s">
        <v>77</v>
      </c>
      <c r="D31" t="s">
        <v>24</v>
      </c>
      <c r="E31" t="s">
        <v>78</v>
      </c>
      <c r="F31" t="s">
        <v>27</v>
      </c>
      <c r="G31" t="s">
        <v>79</v>
      </c>
      <c r="H31" t="s">
        <v>36</v>
      </c>
      <c r="I31" t="s">
        <v>48</v>
      </c>
      <c r="J31">
        <v>823</v>
      </c>
      <c r="K31">
        <v>843</v>
      </c>
      <c r="L31">
        <v>25</v>
      </c>
      <c r="M31">
        <v>10</v>
      </c>
      <c r="N31">
        <v>827</v>
      </c>
      <c r="O31">
        <v>65.3</v>
      </c>
      <c r="P31">
        <v>0</v>
      </c>
      <c r="Q31" t="s">
        <v>80</v>
      </c>
      <c r="R31" t="s">
        <v>81</v>
      </c>
      <c r="S31" t="s">
        <v>82</v>
      </c>
      <c r="T31">
        <v>4</v>
      </c>
      <c r="U31">
        <v>4</v>
      </c>
      <c r="V31" s="6">
        <v>161.80000000000001</v>
      </c>
      <c r="W31" s="6">
        <v>2983.11</v>
      </c>
      <c r="X31" t="s">
        <v>87</v>
      </c>
      <c r="Y31" s="7">
        <f t="shared" si="0"/>
        <v>2.9655990510083038E-2</v>
      </c>
      <c r="Z31" s="7">
        <f t="shared" si="1"/>
        <v>0.98102016607354681</v>
      </c>
      <c r="AA31">
        <f t="shared" si="2"/>
        <v>-20</v>
      </c>
      <c r="AB31" s="8">
        <f t="shared" si="3"/>
        <v>4045.0000000000005</v>
      </c>
      <c r="AC31">
        <f t="shared" si="4"/>
        <v>30.5</v>
      </c>
      <c r="AD31" t="str">
        <f t="shared" si="5"/>
        <v>Low</v>
      </c>
      <c r="AE31" t="str">
        <f t="shared" si="6"/>
        <v>No</v>
      </c>
    </row>
    <row r="32" spans="1:31" x14ac:dyDescent="0.35">
      <c r="A32" t="s">
        <v>128</v>
      </c>
      <c r="B32" s="5">
        <v>46041</v>
      </c>
      <c r="C32" t="s">
        <v>77</v>
      </c>
      <c r="D32" t="s">
        <v>25</v>
      </c>
      <c r="E32" t="s">
        <v>89</v>
      </c>
      <c r="F32" t="s">
        <v>27</v>
      </c>
      <c r="G32" t="s">
        <v>79</v>
      </c>
      <c r="H32" t="s">
        <v>34</v>
      </c>
      <c r="I32" t="s">
        <v>44</v>
      </c>
      <c r="J32">
        <v>1225</v>
      </c>
      <c r="K32">
        <v>1129</v>
      </c>
      <c r="L32">
        <v>17</v>
      </c>
      <c r="M32">
        <v>10</v>
      </c>
      <c r="N32">
        <v>1050</v>
      </c>
      <c r="O32">
        <v>54.4</v>
      </c>
      <c r="P32">
        <v>0</v>
      </c>
      <c r="Q32" t="s">
        <v>80</v>
      </c>
      <c r="R32" t="s">
        <v>81</v>
      </c>
      <c r="S32" t="s">
        <v>82</v>
      </c>
      <c r="T32">
        <v>6</v>
      </c>
      <c r="U32">
        <v>5</v>
      </c>
      <c r="V32" s="6">
        <v>427.9</v>
      </c>
      <c r="W32" s="6">
        <v>1859.19</v>
      </c>
      <c r="X32" t="s">
        <v>94</v>
      </c>
      <c r="Y32" s="7">
        <f t="shared" si="0"/>
        <v>1.5057573073516387E-2</v>
      </c>
      <c r="Z32" s="7">
        <f t="shared" si="1"/>
        <v>0.93002657218777685</v>
      </c>
      <c r="AA32">
        <f t="shared" si="2"/>
        <v>96</v>
      </c>
      <c r="AB32" s="8">
        <f t="shared" si="3"/>
        <v>7274.2999999999993</v>
      </c>
      <c r="AC32">
        <f t="shared" si="4"/>
        <v>18.2</v>
      </c>
      <c r="AD32" t="str">
        <f t="shared" si="5"/>
        <v>Low</v>
      </c>
      <c r="AE32" t="str">
        <f t="shared" si="6"/>
        <v>No</v>
      </c>
    </row>
    <row r="33" spans="1:31" x14ac:dyDescent="0.35">
      <c r="A33" t="s">
        <v>129</v>
      </c>
      <c r="B33" s="5">
        <v>46041</v>
      </c>
      <c r="C33" t="s">
        <v>77</v>
      </c>
      <c r="D33" t="s">
        <v>23</v>
      </c>
      <c r="E33" t="s">
        <v>78</v>
      </c>
      <c r="F33" t="s">
        <v>27</v>
      </c>
      <c r="G33" t="s">
        <v>90</v>
      </c>
      <c r="H33" t="s">
        <v>36</v>
      </c>
      <c r="I33" t="s">
        <v>48</v>
      </c>
      <c r="J33">
        <v>1259</v>
      </c>
      <c r="K33">
        <v>1247</v>
      </c>
      <c r="L33">
        <v>39</v>
      </c>
      <c r="M33">
        <v>25</v>
      </c>
      <c r="N33">
        <v>1193</v>
      </c>
      <c r="O33">
        <v>47.1</v>
      </c>
      <c r="P33">
        <v>0</v>
      </c>
      <c r="Q33" t="s">
        <v>80</v>
      </c>
      <c r="R33" t="s">
        <v>81</v>
      </c>
      <c r="S33" t="s">
        <v>82</v>
      </c>
      <c r="T33">
        <v>6</v>
      </c>
      <c r="U33">
        <v>5</v>
      </c>
      <c r="V33" s="6">
        <v>100.17</v>
      </c>
      <c r="W33" s="6">
        <v>3040.48</v>
      </c>
      <c r="X33" t="s">
        <v>121</v>
      </c>
      <c r="Y33" s="7">
        <f t="shared" si="0"/>
        <v>3.1275060144346431E-2</v>
      </c>
      <c r="Z33" s="7">
        <f t="shared" si="1"/>
        <v>0.95669607056936645</v>
      </c>
      <c r="AA33">
        <f t="shared" si="2"/>
        <v>12</v>
      </c>
      <c r="AB33" s="8">
        <f t="shared" si="3"/>
        <v>3906.63</v>
      </c>
      <c r="AC33">
        <f t="shared" si="4"/>
        <v>33.200000000000003</v>
      </c>
      <c r="AD33" t="str">
        <f t="shared" si="5"/>
        <v>Low</v>
      </c>
      <c r="AE33" t="str">
        <f t="shared" si="6"/>
        <v>No</v>
      </c>
    </row>
    <row r="34" spans="1:31" x14ac:dyDescent="0.35">
      <c r="A34" t="s">
        <v>130</v>
      </c>
      <c r="B34" s="5">
        <v>46041</v>
      </c>
      <c r="C34" t="s">
        <v>77</v>
      </c>
      <c r="D34" t="s">
        <v>22</v>
      </c>
      <c r="E34" t="s">
        <v>93</v>
      </c>
      <c r="F34" t="s">
        <v>32</v>
      </c>
      <c r="G34" t="s">
        <v>79</v>
      </c>
      <c r="H34" t="s">
        <v>34</v>
      </c>
      <c r="I34" t="s">
        <v>47</v>
      </c>
      <c r="J34">
        <v>1249</v>
      </c>
      <c r="K34">
        <v>1263</v>
      </c>
      <c r="L34">
        <v>22</v>
      </c>
      <c r="M34">
        <v>12</v>
      </c>
      <c r="N34">
        <v>1260</v>
      </c>
      <c r="O34">
        <v>51.2</v>
      </c>
      <c r="P34">
        <v>4.0999999999999996</v>
      </c>
      <c r="Q34" t="s">
        <v>80</v>
      </c>
      <c r="R34" t="s">
        <v>81</v>
      </c>
      <c r="S34" t="s">
        <v>82</v>
      </c>
      <c r="T34">
        <v>4</v>
      </c>
      <c r="U34">
        <v>6</v>
      </c>
      <c r="V34" s="6">
        <v>375.84</v>
      </c>
      <c r="W34" s="6">
        <v>2247.9</v>
      </c>
      <c r="X34" t="s">
        <v>115</v>
      </c>
      <c r="Y34" s="7">
        <f t="shared" si="0"/>
        <v>1.7418844022169439E-2</v>
      </c>
      <c r="Z34" s="7">
        <f t="shared" si="1"/>
        <v>0.99762470308788598</v>
      </c>
      <c r="AA34">
        <f t="shared" si="2"/>
        <v>-14</v>
      </c>
      <c r="AB34" s="8">
        <f t="shared" si="3"/>
        <v>8268.48</v>
      </c>
      <c r="AC34">
        <f t="shared" si="4"/>
        <v>22.9</v>
      </c>
      <c r="AD34" t="str">
        <f t="shared" si="5"/>
        <v>Low</v>
      </c>
      <c r="AE34" t="str">
        <f t="shared" si="6"/>
        <v>No</v>
      </c>
    </row>
    <row r="35" spans="1:31" x14ac:dyDescent="0.35">
      <c r="A35" t="s">
        <v>131</v>
      </c>
      <c r="B35" s="5">
        <v>46041</v>
      </c>
      <c r="C35" t="s">
        <v>77</v>
      </c>
      <c r="D35" t="s">
        <v>20</v>
      </c>
      <c r="E35" t="s">
        <v>78</v>
      </c>
      <c r="F35" t="s">
        <v>27</v>
      </c>
      <c r="G35" t="s">
        <v>85</v>
      </c>
      <c r="H35" t="s">
        <v>39</v>
      </c>
      <c r="I35" t="s">
        <v>45</v>
      </c>
      <c r="J35">
        <v>1202</v>
      </c>
      <c r="K35">
        <v>1141</v>
      </c>
      <c r="L35">
        <v>46</v>
      </c>
      <c r="M35">
        <v>24</v>
      </c>
      <c r="N35">
        <v>1133</v>
      </c>
      <c r="O35">
        <v>75.8</v>
      </c>
      <c r="P35">
        <v>6.1</v>
      </c>
      <c r="Q35" t="s">
        <v>80</v>
      </c>
      <c r="R35" t="s">
        <v>81</v>
      </c>
      <c r="S35" t="s">
        <v>82</v>
      </c>
      <c r="T35">
        <v>6</v>
      </c>
      <c r="U35">
        <v>5</v>
      </c>
      <c r="V35" s="6">
        <v>213.53</v>
      </c>
      <c r="W35" s="6">
        <v>4880.96</v>
      </c>
      <c r="X35" t="s">
        <v>115</v>
      </c>
      <c r="Y35" s="7">
        <f t="shared" si="0"/>
        <v>4.0315512708150744E-2</v>
      </c>
      <c r="Z35" s="7">
        <f t="shared" si="1"/>
        <v>0.99298860648553899</v>
      </c>
      <c r="AA35">
        <f t="shared" si="2"/>
        <v>61</v>
      </c>
      <c r="AB35" s="8">
        <f t="shared" si="3"/>
        <v>9822.3799999999992</v>
      </c>
      <c r="AC35">
        <f t="shared" si="4"/>
        <v>48.6</v>
      </c>
      <c r="AD35" t="str">
        <f t="shared" si="5"/>
        <v>Medium</v>
      </c>
      <c r="AE35" t="str">
        <f t="shared" si="6"/>
        <v>No</v>
      </c>
    </row>
    <row r="36" spans="1:31" x14ac:dyDescent="0.35">
      <c r="A36" t="s">
        <v>132</v>
      </c>
      <c r="B36" s="5">
        <v>46041</v>
      </c>
      <c r="C36" t="s">
        <v>77</v>
      </c>
      <c r="D36" t="s">
        <v>20</v>
      </c>
      <c r="E36" t="s">
        <v>78</v>
      </c>
      <c r="F36" t="s">
        <v>32</v>
      </c>
      <c r="G36" t="s">
        <v>85</v>
      </c>
      <c r="H36" t="s">
        <v>38</v>
      </c>
      <c r="I36" t="s">
        <v>45</v>
      </c>
      <c r="J36">
        <v>875</v>
      </c>
      <c r="K36">
        <v>852</v>
      </c>
      <c r="L36">
        <v>33</v>
      </c>
      <c r="M36">
        <v>18</v>
      </c>
      <c r="N36">
        <v>793</v>
      </c>
      <c r="O36">
        <v>25.3</v>
      </c>
      <c r="P36">
        <v>10</v>
      </c>
      <c r="Q36" t="s">
        <v>80</v>
      </c>
      <c r="R36" t="s">
        <v>81</v>
      </c>
      <c r="S36" t="s">
        <v>82</v>
      </c>
      <c r="T36">
        <v>5</v>
      </c>
      <c r="U36">
        <v>3</v>
      </c>
      <c r="V36" s="6">
        <v>58.28</v>
      </c>
      <c r="W36" s="6">
        <v>1388.57</v>
      </c>
      <c r="X36" t="s">
        <v>83</v>
      </c>
      <c r="Y36" s="7">
        <f t="shared" si="0"/>
        <v>3.873239436619718E-2</v>
      </c>
      <c r="Z36" s="7">
        <f t="shared" si="1"/>
        <v>0.93075117370892024</v>
      </c>
      <c r="AA36">
        <f t="shared" si="2"/>
        <v>23</v>
      </c>
      <c r="AB36" s="8">
        <f t="shared" si="3"/>
        <v>1923.24</v>
      </c>
      <c r="AC36">
        <f t="shared" si="4"/>
        <v>54.8</v>
      </c>
      <c r="AD36" t="str">
        <f t="shared" si="5"/>
        <v>Medium</v>
      </c>
      <c r="AE36" t="str">
        <f t="shared" si="6"/>
        <v>No</v>
      </c>
    </row>
    <row r="37" spans="1:31" x14ac:dyDescent="0.35">
      <c r="A37" t="s">
        <v>133</v>
      </c>
      <c r="B37" s="5">
        <v>46041</v>
      </c>
      <c r="C37" t="s">
        <v>77</v>
      </c>
      <c r="D37" t="s">
        <v>24</v>
      </c>
      <c r="E37" t="s">
        <v>78</v>
      </c>
      <c r="F37" t="s">
        <v>31</v>
      </c>
      <c r="G37" t="s">
        <v>90</v>
      </c>
      <c r="H37" t="s">
        <v>36</v>
      </c>
      <c r="I37" t="s">
        <v>47</v>
      </c>
      <c r="J37">
        <v>1162</v>
      </c>
      <c r="K37">
        <v>1146</v>
      </c>
      <c r="L37">
        <v>39</v>
      </c>
      <c r="M37">
        <v>30</v>
      </c>
      <c r="N37">
        <v>1124</v>
      </c>
      <c r="O37">
        <v>32.4</v>
      </c>
      <c r="P37">
        <v>2.7</v>
      </c>
      <c r="Q37" t="s">
        <v>80</v>
      </c>
      <c r="R37" t="s">
        <v>81</v>
      </c>
      <c r="S37" t="s">
        <v>82</v>
      </c>
      <c r="T37">
        <v>0</v>
      </c>
      <c r="U37">
        <v>2</v>
      </c>
      <c r="V37" s="6">
        <v>105.16</v>
      </c>
      <c r="W37" s="6">
        <v>2140.3000000000002</v>
      </c>
      <c r="X37" t="s">
        <v>115</v>
      </c>
      <c r="Y37" s="7">
        <f t="shared" si="0"/>
        <v>3.4031413612565446E-2</v>
      </c>
      <c r="Z37" s="7">
        <f t="shared" si="1"/>
        <v>0.98080279232111689</v>
      </c>
      <c r="AA37">
        <f t="shared" si="2"/>
        <v>16</v>
      </c>
      <c r="AB37" s="8">
        <f t="shared" si="3"/>
        <v>4101.24</v>
      </c>
      <c r="AC37">
        <f t="shared" si="4"/>
        <v>38.4</v>
      </c>
      <c r="AD37" t="str">
        <f t="shared" si="5"/>
        <v>Low</v>
      </c>
      <c r="AE37" t="str">
        <f t="shared" si="6"/>
        <v>No</v>
      </c>
    </row>
    <row r="38" spans="1:31" x14ac:dyDescent="0.35">
      <c r="A38" t="s">
        <v>134</v>
      </c>
      <c r="B38" s="5">
        <v>46041</v>
      </c>
      <c r="C38" t="s">
        <v>77</v>
      </c>
      <c r="D38" t="s">
        <v>24</v>
      </c>
      <c r="E38" t="s">
        <v>78</v>
      </c>
      <c r="F38" t="s">
        <v>27</v>
      </c>
      <c r="G38" t="s">
        <v>90</v>
      </c>
      <c r="H38" t="s">
        <v>34</v>
      </c>
      <c r="I38" t="s">
        <v>42</v>
      </c>
      <c r="J38">
        <v>1501</v>
      </c>
      <c r="K38">
        <v>1629</v>
      </c>
      <c r="L38">
        <v>67</v>
      </c>
      <c r="M38">
        <v>43</v>
      </c>
      <c r="N38">
        <v>1569</v>
      </c>
      <c r="O38">
        <v>21.4</v>
      </c>
      <c r="P38">
        <v>7.2</v>
      </c>
      <c r="Q38" t="s">
        <v>80</v>
      </c>
      <c r="R38" t="s">
        <v>81</v>
      </c>
      <c r="S38" t="s">
        <v>82</v>
      </c>
      <c r="T38">
        <v>11</v>
      </c>
      <c r="U38">
        <v>9</v>
      </c>
      <c r="V38" s="6">
        <v>224.21</v>
      </c>
      <c r="W38" s="6">
        <v>6311.59</v>
      </c>
      <c r="X38" t="s">
        <v>94</v>
      </c>
      <c r="Y38" s="7">
        <f t="shared" si="0"/>
        <v>4.112952731737262E-2</v>
      </c>
      <c r="Z38" s="7">
        <f t="shared" si="1"/>
        <v>0.96316758747697973</v>
      </c>
      <c r="AA38">
        <f t="shared" si="2"/>
        <v>-128</v>
      </c>
      <c r="AB38" s="8">
        <f t="shared" si="3"/>
        <v>15022.07</v>
      </c>
      <c r="AC38">
        <f t="shared" si="4"/>
        <v>52.1</v>
      </c>
      <c r="AD38" t="str">
        <f t="shared" si="5"/>
        <v>Medium</v>
      </c>
      <c r="AE38" t="str">
        <f t="shared" si="6"/>
        <v>No</v>
      </c>
    </row>
    <row r="39" spans="1:31" x14ac:dyDescent="0.35">
      <c r="A39" t="s">
        <v>135</v>
      </c>
      <c r="B39" s="5">
        <v>46041</v>
      </c>
      <c r="C39" t="s">
        <v>77</v>
      </c>
      <c r="D39" t="s">
        <v>25</v>
      </c>
      <c r="E39" t="s">
        <v>89</v>
      </c>
      <c r="F39" t="s">
        <v>30</v>
      </c>
      <c r="G39" t="s">
        <v>85</v>
      </c>
      <c r="H39" t="s">
        <v>36</v>
      </c>
      <c r="I39" t="s">
        <v>45</v>
      </c>
      <c r="J39">
        <v>960</v>
      </c>
      <c r="K39">
        <v>891</v>
      </c>
      <c r="L39">
        <v>29</v>
      </c>
      <c r="M39">
        <v>14</v>
      </c>
      <c r="N39">
        <v>798</v>
      </c>
      <c r="O39">
        <v>20.5</v>
      </c>
      <c r="P39">
        <v>13</v>
      </c>
      <c r="Q39" t="s">
        <v>80</v>
      </c>
      <c r="R39" t="s">
        <v>81</v>
      </c>
      <c r="S39" t="s">
        <v>82</v>
      </c>
      <c r="T39">
        <v>1</v>
      </c>
      <c r="U39">
        <v>5</v>
      </c>
      <c r="V39" s="6">
        <v>37.81</v>
      </c>
      <c r="W39" s="6">
        <v>450.06</v>
      </c>
      <c r="X39" t="s">
        <v>94</v>
      </c>
      <c r="Y39" s="7">
        <f t="shared" si="0"/>
        <v>3.2547699214365879E-2</v>
      </c>
      <c r="Z39" s="7">
        <f t="shared" si="1"/>
        <v>0.89562289562289565</v>
      </c>
      <c r="AA39">
        <f t="shared" si="2"/>
        <v>69</v>
      </c>
      <c r="AB39" s="8">
        <f t="shared" si="3"/>
        <v>1096.49</v>
      </c>
      <c r="AC39">
        <f t="shared" si="4"/>
        <v>54.1</v>
      </c>
      <c r="AD39" t="str">
        <f t="shared" si="5"/>
        <v>Medium</v>
      </c>
      <c r="AE39" t="str">
        <f t="shared" si="6"/>
        <v>No</v>
      </c>
    </row>
    <row r="40" spans="1:31" x14ac:dyDescent="0.35">
      <c r="A40" t="s">
        <v>136</v>
      </c>
      <c r="B40" s="5">
        <v>46041</v>
      </c>
      <c r="C40" t="s">
        <v>77</v>
      </c>
      <c r="D40" t="s">
        <v>20</v>
      </c>
      <c r="E40" t="s">
        <v>78</v>
      </c>
      <c r="F40" t="s">
        <v>32</v>
      </c>
      <c r="G40" t="s">
        <v>90</v>
      </c>
      <c r="H40" t="s">
        <v>36</v>
      </c>
      <c r="I40" t="s">
        <v>47</v>
      </c>
      <c r="J40">
        <v>1153</v>
      </c>
      <c r="K40">
        <v>1092</v>
      </c>
      <c r="L40">
        <v>8</v>
      </c>
      <c r="M40">
        <v>4</v>
      </c>
      <c r="N40">
        <v>973</v>
      </c>
      <c r="O40">
        <v>31.1</v>
      </c>
      <c r="P40">
        <v>8.3000000000000007</v>
      </c>
      <c r="Q40" t="s">
        <v>80</v>
      </c>
      <c r="R40" t="s">
        <v>81</v>
      </c>
      <c r="S40" t="s">
        <v>82</v>
      </c>
      <c r="T40">
        <v>3</v>
      </c>
      <c r="U40">
        <v>0</v>
      </c>
      <c r="V40" s="6">
        <v>291.62</v>
      </c>
      <c r="W40" s="6">
        <v>1446.17</v>
      </c>
      <c r="X40" t="s">
        <v>110</v>
      </c>
      <c r="Y40" s="7">
        <f t="shared" si="0"/>
        <v>7.326007326007326E-3</v>
      </c>
      <c r="Z40" s="7">
        <f t="shared" si="1"/>
        <v>0.89102564102564108</v>
      </c>
      <c r="AA40">
        <f t="shared" si="2"/>
        <v>61</v>
      </c>
      <c r="AB40" s="8">
        <f t="shared" si="3"/>
        <v>2332.96</v>
      </c>
      <c r="AC40">
        <f t="shared" si="4"/>
        <v>23</v>
      </c>
      <c r="AD40" t="str">
        <f t="shared" si="5"/>
        <v>Low</v>
      </c>
      <c r="AE40" t="str">
        <f t="shared" si="6"/>
        <v>No</v>
      </c>
    </row>
    <row r="41" spans="1:31" x14ac:dyDescent="0.35">
      <c r="A41" t="s">
        <v>137</v>
      </c>
      <c r="B41" s="5">
        <v>46041</v>
      </c>
      <c r="C41" t="s">
        <v>77</v>
      </c>
      <c r="D41" t="s">
        <v>25</v>
      </c>
      <c r="E41" t="s">
        <v>89</v>
      </c>
      <c r="F41" t="s">
        <v>31</v>
      </c>
      <c r="G41" t="s">
        <v>79</v>
      </c>
      <c r="H41" t="s">
        <v>39</v>
      </c>
      <c r="I41" t="s">
        <v>45</v>
      </c>
      <c r="J41">
        <v>928</v>
      </c>
      <c r="K41">
        <v>959</v>
      </c>
      <c r="L41">
        <v>32</v>
      </c>
      <c r="M41">
        <v>16</v>
      </c>
      <c r="N41">
        <v>933</v>
      </c>
      <c r="O41">
        <v>32.6</v>
      </c>
      <c r="P41">
        <v>17.100000000000001</v>
      </c>
      <c r="Q41" t="s">
        <v>80</v>
      </c>
      <c r="R41" t="s">
        <v>81</v>
      </c>
      <c r="S41" t="s">
        <v>138</v>
      </c>
      <c r="T41">
        <v>6</v>
      </c>
      <c r="U41">
        <v>5</v>
      </c>
      <c r="V41" s="6">
        <v>107.45</v>
      </c>
      <c r="W41" s="6">
        <v>1654.8</v>
      </c>
      <c r="X41" t="s">
        <v>83</v>
      </c>
      <c r="Y41" s="7">
        <f t="shared" si="0"/>
        <v>3.3368091762252347E-2</v>
      </c>
      <c r="Z41" s="7">
        <f t="shared" si="1"/>
        <v>0.97288842544317</v>
      </c>
      <c r="AA41">
        <f t="shared" si="2"/>
        <v>-31</v>
      </c>
      <c r="AB41" s="8">
        <f t="shared" si="3"/>
        <v>3438.4</v>
      </c>
      <c r="AC41">
        <f t="shared" si="4"/>
        <v>68.8</v>
      </c>
      <c r="AD41" t="str">
        <f t="shared" si="5"/>
        <v>High</v>
      </c>
      <c r="AE41" t="str">
        <f t="shared" si="6"/>
        <v>Yes</v>
      </c>
    </row>
    <row r="42" spans="1:31" x14ac:dyDescent="0.35">
      <c r="A42" t="s">
        <v>139</v>
      </c>
      <c r="B42" s="5">
        <v>46041</v>
      </c>
      <c r="C42" t="s">
        <v>77</v>
      </c>
      <c r="D42" t="s">
        <v>24</v>
      </c>
      <c r="E42" t="s">
        <v>78</v>
      </c>
      <c r="F42" t="s">
        <v>140</v>
      </c>
      <c r="G42" t="s">
        <v>79</v>
      </c>
      <c r="H42" t="s">
        <v>38</v>
      </c>
      <c r="I42" t="s">
        <v>42</v>
      </c>
      <c r="J42">
        <v>1146</v>
      </c>
      <c r="K42">
        <v>1234</v>
      </c>
      <c r="L42">
        <v>40</v>
      </c>
      <c r="M42">
        <v>16</v>
      </c>
      <c r="N42">
        <v>1220</v>
      </c>
      <c r="O42">
        <v>49.7</v>
      </c>
      <c r="P42">
        <v>1.1000000000000001</v>
      </c>
      <c r="Q42" t="s">
        <v>80</v>
      </c>
      <c r="R42" t="s">
        <v>81</v>
      </c>
      <c r="S42" t="s">
        <v>82</v>
      </c>
      <c r="T42">
        <v>2</v>
      </c>
      <c r="U42">
        <v>6</v>
      </c>
      <c r="V42" s="6">
        <v>278.74</v>
      </c>
      <c r="W42" s="6">
        <v>5910.73</v>
      </c>
      <c r="X42" t="s">
        <v>83</v>
      </c>
      <c r="Y42" s="7">
        <f t="shared" si="0"/>
        <v>3.2414910858995137E-2</v>
      </c>
      <c r="Z42" s="7">
        <f t="shared" si="1"/>
        <v>0.98865478119935168</v>
      </c>
      <c r="AA42">
        <f t="shared" si="2"/>
        <v>-88</v>
      </c>
      <c r="AB42" s="8">
        <f t="shared" si="3"/>
        <v>11149.6</v>
      </c>
      <c r="AC42">
        <f t="shared" si="4"/>
        <v>34.4</v>
      </c>
      <c r="AD42" t="str">
        <f t="shared" si="5"/>
        <v>Low</v>
      </c>
      <c r="AE42" t="str">
        <f t="shared" si="6"/>
        <v>No</v>
      </c>
    </row>
    <row r="43" spans="1:31" x14ac:dyDescent="0.35">
      <c r="A43" t="s">
        <v>141</v>
      </c>
      <c r="B43" s="5">
        <v>46041</v>
      </c>
      <c r="C43" t="s">
        <v>77</v>
      </c>
      <c r="D43" t="s">
        <v>25</v>
      </c>
      <c r="E43" t="s">
        <v>89</v>
      </c>
      <c r="F43" t="s">
        <v>27</v>
      </c>
      <c r="G43" t="s">
        <v>90</v>
      </c>
      <c r="H43" t="s">
        <v>34</v>
      </c>
      <c r="I43" t="s">
        <v>45</v>
      </c>
      <c r="J43">
        <v>920</v>
      </c>
      <c r="K43">
        <v>886</v>
      </c>
      <c r="L43">
        <v>22</v>
      </c>
      <c r="M43">
        <v>17</v>
      </c>
      <c r="N43">
        <v>886</v>
      </c>
      <c r="O43">
        <v>71.7</v>
      </c>
      <c r="P43">
        <v>13.6</v>
      </c>
      <c r="Q43" t="s">
        <v>80</v>
      </c>
      <c r="R43" t="s">
        <v>81</v>
      </c>
      <c r="S43" t="s">
        <v>82</v>
      </c>
      <c r="T43">
        <v>3</v>
      </c>
      <c r="U43">
        <v>4</v>
      </c>
      <c r="V43" s="6">
        <v>277.97000000000003</v>
      </c>
      <c r="W43" s="6">
        <v>3173.72</v>
      </c>
      <c r="X43" t="s">
        <v>94</v>
      </c>
      <c r="Y43" s="7">
        <f t="shared" si="0"/>
        <v>2.4830699774266364E-2</v>
      </c>
      <c r="Z43" s="7">
        <f t="shared" si="1"/>
        <v>1</v>
      </c>
      <c r="AA43">
        <f t="shared" si="2"/>
        <v>34</v>
      </c>
      <c r="AB43" s="8">
        <f t="shared" si="3"/>
        <v>6115.34</v>
      </c>
      <c r="AC43">
        <f t="shared" si="4"/>
        <v>42.5</v>
      </c>
      <c r="AD43" t="str">
        <f t="shared" si="5"/>
        <v>Medium</v>
      </c>
      <c r="AE43" t="str">
        <f t="shared" si="6"/>
        <v>No</v>
      </c>
    </row>
    <row r="44" spans="1:31" x14ac:dyDescent="0.35">
      <c r="A44" t="s">
        <v>142</v>
      </c>
      <c r="B44" s="5">
        <v>46041</v>
      </c>
      <c r="C44" t="s">
        <v>77</v>
      </c>
      <c r="D44" t="s">
        <v>20</v>
      </c>
      <c r="E44" t="s">
        <v>78</v>
      </c>
      <c r="F44" t="s">
        <v>32</v>
      </c>
      <c r="G44" t="s">
        <v>90</v>
      </c>
      <c r="H44" t="s">
        <v>37</v>
      </c>
      <c r="I44" t="s">
        <v>42</v>
      </c>
      <c r="J44">
        <v>1296</v>
      </c>
      <c r="K44">
        <v>1314</v>
      </c>
      <c r="L44">
        <v>26</v>
      </c>
      <c r="M44">
        <v>10</v>
      </c>
      <c r="N44">
        <v>1170</v>
      </c>
      <c r="O44">
        <v>20.9</v>
      </c>
      <c r="P44">
        <v>11.1</v>
      </c>
      <c r="Q44" t="s">
        <v>80</v>
      </c>
      <c r="R44" t="s">
        <v>81</v>
      </c>
      <c r="S44" t="s">
        <v>82</v>
      </c>
      <c r="T44">
        <v>10</v>
      </c>
      <c r="U44">
        <v>3</v>
      </c>
      <c r="V44" s="6">
        <v>268.42</v>
      </c>
      <c r="W44" s="6">
        <v>2341.3000000000002</v>
      </c>
      <c r="X44" t="s">
        <v>94</v>
      </c>
      <c r="Y44" s="7">
        <f t="shared" si="0"/>
        <v>1.9786910197869101E-2</v>
      </c>
      <c r="Z44" s="7">
        <f t="shared" si="1"/>
        <v>0.8904109589041096</v>
      </c>
      <c r="AA44">
        <f t="shared" si="2"/>
        <v>-18</v>
      </c>
      <c r="AB44" s="8">
        <f t="shared" si="3"/>
        <v>6978.92</v>
      </c>
      <c r="AC44">
        <f t="shared" si="4"/>
        <v>39.1</v>
      </c>
      <c r="AD44" t="str">
        <f t="shared" si="5"/>
        <v>Low</v>
      </c>
      <c r="AE44" t="str">
        <f t="shared" si="6"/>
        <v>No</v>
      </c>
    </row>
    <row r="45" spans="1:31" x14ac:dyDescent="0.35">
      <c r="A45" t="s">
        <v>143</v>
      </c>
      <c r="B45" s="5">
        <v>46041</v>
      </c>
      <c r="C45" t="s">
        <v>77</v>
      </c>
      <c r="D45" t="s">
        <v>23</v>
      </c>
      <c r="E45" t="s">
        <v>78</v>
      </c>
      <c r="F45" t="s">
        <v>29</v>
      </c>
      <c r="G45" t="s">
        <v>85</v>
      </c>
      <c r="H45" t="s">
        <v>40</v>
      </c>
      <c r="I45" t="s">
        <v>44</v>
      </c>
      <c r="J45">
        <v>1547</v>
      </c>
      <c r="K45">
        <v>1432</v>
      </c>
      <c r="L45">
        <v>29</v>
      </c>
      <c r="M45">
        <v>19</v>
      </c>
      <c r="N45">
        <v>1357</v>
      </c>
      <c r="O45">
        <v>68.3</v>
      </c>
      <c r="P45">
        <v>12.5</v>
      </c>
      <c r="Q45" t="s">
        <v>80</v>
      </c>
      <c r="R45" t="s">
        <v>81</v>
      </c>
      <c r="S45" t="s">
        <v>82</v>
      </c>
      <c r="T45">
        <v>1</v>
      </c>
      <c r="U45">
        <v>3</v>
      </c>
      <c r="V45" s="6">
        <v>372.71</v>
      </c>
      <c r="W45" s="6">
        <v>4016.01</v>
      </c>
      <c r="X45" t="s">
        <v>115</v>
      </c>
      <c r="Y45" s="7">
        <f t="shared" si="0"/>
        <v>2.0251396648044692E-2</v>
      </c>
      <c r="Z45" s="7">
        <f t="shared" si="1"/>
        <v>0.94762569832402233</v>
      </c>
      <c r="AA45">
        <f t="shared" si="2"/>
        <v>115</v>
      </c>
      <c r="AB45" s="8">
        <f t="shared" si="3"/>
        <v>10808.59</v>
      </c>
      <c r="AC45">
        <f t="shared" si="4"/>
        <v>38.9</v>
      </c>
      <c r="AD45" t="str">
        <f t="shared" si="5"/>
        <v>Low</v>
      </c>
      <c r="AE45" t="str">
        <f t="shared" si="6"/>
        <v>No</v>
      </c>
    </row>
    <row r="46" spans="1:31" x14ac:dyDescent="0.35">
      <c r="A46" t="s">
        <v>144</v>
      </c>
      <c r="B46" s="5">
        <v>46041</v>
      </c>
      <c r="C46" t="s">
        <v>77</v>
      </c>
      <c r="D46" t="s">
        <v>20</v>
      </c>
      <c r="E46" t="s">
        <v>78</v>
      </c>
      <c r="F46" t="s">
        <v>30</v>
      </c>
      <c r="G46" t="s">
        <v>90</v>
      </c>
      <c r="H46" t="s">
        <v>39</v>
      </c>
      <c r="I46" t="s">
        <v>42</v>
      </c>
      <c r="J46">
        <v>1019</v>
      </c>
      <c r="K46">
        <v>1078</v>
      </c>
      <c r="L46">
        <v>25</v>
      </c>
      <c r="M46">
        <v>11</v>
      </c>
      <c r="N46">
        <v>1043</v>
      </c>
      <c r="O46">
        <v>46.1</v>
      </c>
      <c r="P46">
        <v>0</v>
      </c>
      <c r="Q46" t="s">
        <v>80</v>
      </c>
      <c r="R46" t="s">
        <v>81</v>
      </c>
      <c r="S46" t="s">
        <v>82</v>
      </c>
      <c r="T46">
        <v>1</v>
      </c>
      <c r="U46">
        <v>1</v>
      </c>
      <c r="V46" s="6">
        <v>105.79</v>
      </c>
      <c r="W46" s="6">
        <v>1084.31</v>
      </c>
      <c r="X46" t="s">
        <v>91</v>
      </c>
      <c r="Y46" s="7">
        <f t="shared" si="0"/>
        <v>2.3191094619666047E-2</v>
      </c>
      <c r="Z46" s="7">
        <f t="shared" si="1"/>
        <v>0.96753246753246758</v>
      </c>
      <c r="AA46">
        <f t="shared" si="2"/>
        <v>-59</v>
      </c>
      <c r="AB46" s="8">
        <f t="shared" si="3"/>
        <v>2644.75</v>
      </c>
      <c r="AC46">
        <f t="shared" si="4"/>
        <v>24.7</v>
      </c>
      <c r="AD46" t="str">
        <f t="shared" si="5"/>
        <v>Low</v>
      </c>
      <c r="AE46" t="str">
        <f t="shared" si="6"/>
        <v>No</v>
      </c>
    </row>
    <row r="47" spans="1:31" x14ac:dyDescent="0.35">
      <c r="A47" t="s">
        <v>145</v>
      </c>
      <c r="B47" s="5">
        <v>46048</v>
      </c>
      <c r="C47" t="s">
        <v>77</v>
      </c>
      <c r="D47" t="s">
        <v>20</v>
      </c>
      <c r="E47" t="s">
        <v>78</v>
      </c>
      <c r="F47" t="s">
        <v>30</v>
      </c>
      <c r="G47" t="s">
        <v>85</v>
      </c>
      <c r="H47" t="s">
        <v>37</v>
      </c>
      <c r="I47" t="s">
        <v>45</v>
      </c>
      <c r="J47">
        <v>932</v>
      </c>
      <c r="K47">
        <v>879</v>
      </c>
      <c r="L47">
        <v>30</v>
      </c>
      <c r="M47">
        <v>24</v>
      </c>
      <c r="N47">
        <v>810</v>
      </c>
      <c r="O47">
        <v>65.599999999999994</v>
      </c>
      <c r="P47">
        <v>13.6</v>
      </c>
      <c r="Q47" t="s">
        <v>80</v>
      </c>
      <c r="R47" t="s">
        <v>81</v>
      </c>
      <c r="S47" t="s">
        <v>82</v>
      </c>
      <c r="T47">
        <v>3</v>
      </c>
      <c r="U47">
        <v>4</v>
      </c>
      <c r="V47" s="6">
        <v>147.56</v>
      </c>
      <c r="W47" s="6">
        <v>3403.66</v>
      </c>
      <c r="X47" t="s">
        <v>83</v>
      </c>
      <c r="Y47" s="7">
        <f t="shared" si="0"/>
        <v>3.4129692832764506E-2</v>
      </c>
      <c r="Z47" s="7">
        <f t="shared" si="1"/>
        <v>0.92150170648464169</v>
      </c>
      <c r="AA47">
        <f t="shared" si="2"/>
        <v>53</v>
      </c>
      <c r="AB47" s="8">
        <f t="shared" si="3"/>
        <v>4426.8</v>
      </c>
      <c r="AC47">
        <f t="shared" si="4"/>
        <v>55.3</v>
      </c>
      <c r="AD47" t="str">
        <f t="shared" si="5"/>
        <v>Medium</v>
      </c>
      <c r="AE47" t="str">
        <f t="shared" si="6"/>
        <v>No</v>
      </c>
    </row>
    <row r="48" spans="1:31" x14ac:dyDescent="0.35">
      <c r="A48" t="s">
        <v>146</v>
      </c>
      <c r="B48" s="5">
        <v>46048</v>
      </c>
      <c r="C48" t="s">
        <v>77</v>
      </c>
      <c r="D48" t="s">
        <v>24</v>
      </c>
      <c r="E48" t="s">
        <v>78</v>
      </c>
      <c r="F48" t="s">
        <v>32</v>
      </c>
      <c r="G48" t="s">
        <v>90</v>
      </c>
      <c r="H48" t="s">
        <v>34</v>
      </c>
      <c r="I48" t="s">
        <v>46</v>
      </c>
      <c r="J48">
        <v>1167</v>
      </c>
      <c r="K48">
        <v>1193</v>
      </c>
      <c r="L48">
        <v>11</v>
      </c>
      <c r="M48">
        <v>5</v>
      </c>
      <c r="N48">
        <v>1107</v>
      </c>
      <c r="O48">
        <v>71.400000000000006</v>
      </c>
      <c r="P48">
        <v>19.7</v>
      </c>
      <c r="Q48" t="s">
        <v>80</v>
      </c>
      <c r="R48" t="s">
        <v>81</v>
      </c>
      <c r="S48" t="s">
        <v>82</v>
      </c>
      <c r="T48">
        <v>0</v>
      </c>
      <c r="U48">
        <v>1</v>
      </c>
      <c r="V48" s="6">
        <v>370.7</v>
      </c>
      <c r="W48" s="6">
        <v>1961.22</v>
      </c>
      <c r="X48" t="s">
        <v>91</v>
      </c>
      <c r="Y48" s="7">
        <f t="shared" si="0"/>
        <v>9.2204526404023462E-3</v>
      </c>
      <c r="Z48" s="7">
        <f t="shared" si="1"/>
        <v>0.92791282481139981</v>
      </c>
      <c r="AA48">
        <f t="shared" si="2"/>
        <v>-26</v>
      </c>
      <c r="AB48" s="8">
        <f t="shared" si="3"/>
        <v>4077.7</v>
      </c>
      <c r="AC48">
        <f t="shared" si="4"/>
        <v>38.1</v>
      </c>
      <c r="AD48" t="str">
        <f t="shared" si="5"/>
        <v>Low</v>
      </c>
      <c r="AE48" t="str">
        <f t="shared" si="6"/>
        <v>No</v>
      </c>
    </row>
    <row r="49" spans="1:31" x14ac:dyDescent="0.35">
      <c r="A49" t="s">
        <v>147</v>
      </c>
      <c r="B49" s="5">
        <v>46048</v>
      </c>
      <c r="C49" t="s">
        <v>77</v>
      </c>
      <c r="D49" t="s">
        <v>20</v>
      </c>
      <c r="E49" t="s">
        <v>78</v>
      </c>
      <c r="F49" t="s">
        <v>27</v>
      </c>
      <c r="G49" t="s">
        <v>85</v>
      </c>
      <c r="H49" t="s">
        <v>34</v>
      </c>
      <c r="I49" t="s">
        <v>47</v>
      </c>
      <c r="J49">
        <v>1471</v>
      </c>
      <c r="K49">
        <v>1415</v>
      </c>
      <c r="L49">
        <v>31</v>
      </c>
      <c r="M49">
        <v>18</v>
      </c>
      <c r="N49">
        <v>1325</v>
      </c>
      <c r="O49">
        <v>53</v>
      </c>
      <c r="P49">
        <v>3.5</v>
      </c>
      <c r="Q49" t="s">
        <v>86</v>
      </c>
      <c r="R49" t="s">
        <v>81</v>
      </c>
      <c r="S49" t="s">
        <v>82</v>
      </c>
      <c r="T49">
        <v>7</v>
      </c>
      <c r="U49">
        <v>3</v>
      </c>
      <c r="V49" s="6">
        <v>248.57</v>
      </c>
      <c r="W49" s="6">
        <v>5963.22</v>
      </c>
      <c r="X49" t="s">
        <v>121</v>
      </c>
      <c r="Y49" s="7">
        <f t="shared" si="0"/>
        <v>2.1908127208480566E-2</v>
      </c>
      <c r="Z49" s="7">
        <f t="shared" si="1"/>
        <v>0.93639575971731448</v>
      </c>
      <c r="AA49">
        <f t="shared" si="2"/>
        <v>56</v>
      </c>
      <c r="AB49" s="8">
        <f t="shared" si="3"/>
        <v>7705.67</v>
      </c>
      <c r="AC49">
        <f t="shared" si="4"/>
        <v>47.3</v>
      </c>
      <c r="AD49" t="str">
        <f t="shared" si="5"/>
        <v>Medium</v>
      </c>
      <c r="AE49" t="str">
        <f t="shared" si="6"/>
        <v>Yes</v>
      </c>
    </row>
    <row r="50" spans="1:31" x14ac:dyDescent="0.35">
      <c r="A50" t="s">
        <v>148</v>
      </c>
      <c r="B50" s="5">
        <v>46048</v>
      </c>
      <c r="C50" t="s">
        <v>77</v>
      </c>
      <c r="D50" t="s">
        <v>24</v>
      </c>
      <c r="E50" t="s">
        <v>78</v>
      </c>
      <c r="F50" t="s">
        <v>29</v>
      </c>
      <c r="G50" t="s">
        <v>90</v>
      </c>
      <c r="H50" t="s">
        <v>37</v>
      </c>
      <c r="I50" t="s">
        <v>42</v>
      </c>
      <c r="J50">
        <v>1531</v>
      </c>
      <c r="K50">
        <v>1625</v>
      </c>
      <c r="L50">
        <v>22</v>
      </c>
      <c r="M50">
        <v>16</v>
      </c>
      <c r="N50">
        <v>1522</v>
      </c>
      <c r="O50">
        <v>42.2</v>
      </c>
      <c r="P50">
        <v>6.7</v>
      </c>
      <c r="Q50" t="s">
        <v>80</v>
      </c>
      <c r="R50" t="s">
        <v>81</v>
      </c>
      <c r="S50" t="s">
        <v>100</v>
      </c>
      <c r="T50">
        <v>8</v>
      </c>
      <c r="U50">
        <v>0</v>
      </c>
      <c r="V50" s="6">
        <v>210.16</v>
      </c>
      <c r="W50" s="6">
        <v>1682.44</v>
      </c>
      <c r="X50" t="s">
        <v>94</v>
      </c>
      <c r="Y50" s="7">
        <f t="shared" si="0"/>
        <v>1.3538461538461539E-2</v>
      </c>
      <c r="Z50" s="7">
        <f t="shared" si="1"/>
        <v>0.93661538461538463</v>
      </c>
      <c r="AA50">
        <f t="shared" si="2"/>
        <v>-94</v>
      </c>
      <c r="AB50" s="8">
        <f t="shared" si="3"/>
        <v>4623.5199999999995</v>
      </c>
      <c r="AC50">
        <f t="shared" si="4"/>
        <v>25.1</v>
      </c>
      <c r="AD50" t="str">
        <f t="shared" si="5"/>
        <v>Low</v>
      </c>
      <c r="AE50" t="str">
        <f t="shared" si="6"/>
        <v>No</v>
      </c>
    </row>
    <row r="51" spans="1:31" x14ac:dyDescent="0.35">
      <c r="A51" t="s">
        <v>149</v>
      </c>
      <c r="B51" s="5">
        <v>46048</v>
      </c>
      <c r="C51" t="s">
        <v>77</v>
      </c>
      <c r="D51" t="s">
        <v>22</v>
      </c>
      <c r="E51" t="s">
        <v>93</v>
      </c>
      <c r="F51" t="s">
        <v>30</v>
      </c>
      <c r="G51" t="s">
        <v>90</v>
      </c>
      <c r="H51" t="s">
        <v>36</v>
      </c>
      <c r="I51" t="s">
        <v>46</v>
      </c>
      <c r="J51">
        <v>999</v>
      </c>
      <c r="K51">
        <v>1033</v>
      </c>
      <c r="L51">
        <v>27</v>
      </c>
      <c r="M51">
        <v>9</v>
      </c>
      <c r="N51">
        <v>933</v>
      </c>
      <c r="O51">
        <v>44.4</v>
      </c>
      <c r="P51">
        <v>8.4</v>
      </c>
      <c r="Q51" t="s">
        <v>80</v>
      </c>
      <c r="R51" t="s">
        <v>81</v>
      </c>
      <c r="S51" t="s">
        <v>82</v>
      </c>
      <c r="T51">
        <v>7</v>
      </c>
      <c r="U51">
        <v>0</v>
      </c>
      <c r="V51" s="6">
        <v>49.01</v>
      </c>
      <c r="W51" s="6">
        <v>854.76</v>
      </c>
      <c r="X51" t="s">
        <v>121</v>
      </c>
      <c r="Y51" s="7">
        <f t="shared" si="0"/>
        <v>2.6137463697967087E-2</v>
      </c>
      <c r="Z51" s="7">
        <f t="shared" si="1"/>
        <v>0.90319457889641819</v>
      </c>
      <c r="AA51">
        <f t="shared" si="2"/>
        <v>-34</v>
      </c>
      <c r="AB51" s="8">
        <f t="shared" si="3"/>
        <v>1323.27</v>
      </c>
      <c r="AC51">
        <f t="shared" si="4"/>
        <v>41.4</v>
      </c>
      <c r="AD51" t="str">
        <f t="shared" si="5"/>
        <v>Medium</v>
      </c>
      <c r="AE51" t="str">
        <f t="shared" si="6"/>
        <v>No</v>
      </c>
    </row>
    <row r="52" spans="1:31" x14ac:dyDescent="0.35">
      <c r="A52" t="s">
        <v>150</v>
      </c>
      <c r="B52" s="5">
        <v>46048</v>
      </c>
      <c r="C52" t="s">
        <v>77</v>
      </c>
      <c r="D52" t="s">
        <v>24</v>
      </c>
      <c r="E52" t="s">
        <v>78</v>
      </c>
      <c r="F52" t="s">
        <v>27</v>
      </c>
      <c r="G52" t="s">
        <v>90</v>
      </c>
      <c r="H52" t="s">
        <v>37</v>
      </c>
      <c r="I52" t="s">
        <v>47</v>
      </c>
      <c r="J52">
        <v>964</v>
      </c>
      <c r="K52">
        <v>970</v>
      </c>
      <c r="L52">
        <v>24</v>
      </c>
      <c r="M52">
        <v>9</v>
      </c>
      <c r="N52">
        <v>938</v>
      </c>
      <c r="O52">
        <v>54</v>
      </c>
      <c r="P52">
        <v>4</v>
      </c>
      <c r="Q52" t="s">
        <v>96</v>
      </c>
      <c r="R52" t="s">
        <v>81</v>
      </c>
      <c r="S52" t="s">
        <v>82</v>
      </c>
      <c r="T52">
        <v>9</v>
      </c>
      <c r="U52">
        <v>1</v>
      </c>
      <c r="V52" s="6">
        <v>368.92</v>
      </c>
      <c r="W52" s="6">
        <v>4574.51</v>
      </c>
      <c r="X52" t="s">
        <v>151</v>
      </c>
      <c r="Y52" s="7">
        <f t="shared" si="0"/>
        <v>2.4742268041237112E-2</v>
      </c>
      <c r="Z52" s="7">
        <f t="shared" si="1"/>
        <v>0.96701030927835052</v>
      </c>
      <c r="AA52">
        <f t="shared" si="2"/>
        <v>-6</v>
      </c>
      <c r="AB52" s="8">
        <f t="shared" si="3"/>
        <v>8854.08</v>
      </c>
      <c r="AC52">
        <f t="shared" si="4"/>
        <v>41.4</v>
      </c>
      <c r="AD52" t="str">
        <f t="shared" si="5"/>
        <v>Medium</v>
      </c>
      <c r="AE52" t="str">
        <f t="shared" si="6"/>
        <v>No</v>
      </c>
    </row>
    <row r="53" spans="1:31" x14ac:dyDescent="0.35">
      <c r="A53" t="s">
        <v>152</v>
      </c>
      <c r="B53" s="5">
        <v>46048</v>
      </c>
      <c r="C53" t="s">
        <v>77</v>
      </c>
      <c r="D53" t="s">
        <v>24</v>
      </c>
      <c r="E53" t="s">
        <v>78</v>
      </c>
      <c r="F53" t="s">
        <v>29</v>
      </c>
      <c r="G53" t="s">
        <v>79</v>
      </c>
      <c r="H53" t="s">
        <v>34</v>
      </c>
      <c r="I53" t="s">
        <v>44</v>
      </c>
      <c r="J53">
        <v>973</v>
      </c>
      <c r="K53">
        <v>1034</v>
      </c>
      <c r="L53">
        <v>40</v>
      </c>
      <c r="M53">
        <v>23</v>
      </c>
      <c r="N53">
        <v>942</v>
      </c>
      <c r="O53">
        <v>25.2</v>
      </c>
      <c r="P53">
        <v>13.3</v>
      </c>
      <c r="Q53" t="s">
        <v>80</v>
      </c>
      <c r="R53" t="s">
        <v>81</v>
      </c>
      <c r="S53" t="s">
        <v>82</v>
      </c>
      <c r="T53">
        <v>8</v>
      </c>
      <c r="U53">
        <v>6</v>
      </c>
      <c r="V53" s="6">
        <v>86.29</v>
      </c>
      <c r="W53" s="6">
        <v>1867.16</v>
      </c>
      <c r="X53" t="s">
        <v>94</v>
      </c>
      <c r="Y53" s="7">
        <f t="shared" si="0"/>
        <v>3.8684719535783368E-2</v>
      </c>
      <c r="Z53" s="7">
        <f t="shared" si="1"/>
        <v>0.91102514506769827</v>
      </c>
      <c r="AA53">
        <f t="shared" si="2"/>
        <v>-61</v>
      </c>
      <c r="AB53" s="8">
        <f t="shared" si="3"/>
        <v>3451.6000000000004</v>
      </c>
      <c r="AC53">
        <f t="shared" si="4"/>
        <v>60</v>
      </c>
      <c r="AD53" t="str">
        <f t="shared" si="5"/>
        <v>Medium</v>
      </c>
      <c r="AE53" t="str">
        <f t="shared" si="6"/>
        <v>No</v>
      </c>
    </row>
    <row r="54" spans="1:31" x14ac:dyDescent="0.35">
      <c r="A54" t="s">
        <v>153</v>
      </c>
      <c r="B54" s="5">
        <v>46048</v>
      </c>
      <c r="C54" t="s">
        <v>77</v>
      </c>
      <c r="D54" t="s">
        <v>22</v>
      </c>
      <c r="E54" t="s">
        <v>93</v>
      </c>
      <c r="F54" t="s">
        <v>31</v>
      </c>
      <c r="G54" t="s">
        <v>90</v>
      </c>
      <c r="H54" t="s">
        <v>38</v>
      </c>
      <c r="I54" t="s">
        <v>44</v>
      </c>
      <c r="J54">
        <v>1313</v>
      </c>
      <c r="K54">
        <v>1220</v>
      </c>
      <c r="L54">
        <v>27</v>
      </c>
      <c r="M54">
        <v>13</v>
      </c>
      <c r="N54">
        <v>1182</v>
      </c>
      <c r="O54">
        <v>44.9</v>
      </c>
      <c r="P54">
        <v>7.9</v>
      </c>
      <c r="Q54" t="s">
        <v>80</v>
      </c>
      <c r="R54" t="s">
        <v>81</v>
      </c>
      <c r="S54" t="s">
        <v>82</v>
      </c>
      <c r="T54">
        <v>7</v>
      </c>
      <c r="U54">
        <v>0</v>
      </c>
      <c r="V54" s="6">
        <v>93.33</v>
      </c>
      <c r="W54" s="6">
        <v>746.43</v>
      </c>
      <c r="X54" t="s">
        <v>94</v>
      </c>
      <c r="Y54" s="7">
        <f t="shared" si="0"/>
        <v>2.2131147540983605E-2</v>
      </c>
      <c r="Z54" s="7">
        <f t="shared" si="1"/>
        <v>0.9688524590163935</v>
      </c>
      <c r="AA54">
        <f t="shared" si="2"/>
        <v>93</v>
      </c>
      <c r="AB54" s="8">
        <f t="shared" si="3"/>
        <v>2519.91</v>
      </c>
      <c r="AC54">
        <f t="shared" si="4"/>
        <v>33.799999999999997</v>
      </c>
      <c r="AD54" t="str">
        <f t="shared" si="5"/>
        <v>Low</v>
      </c>
      <c r="AE54" t="str">
        <f t="shared" si="6"/>
        <v>No</v>
      </c>
    </row>
    <row r="55" spans="1:31" x14ac:dyDescent="0.35">
      <c r="A55" t="s">
        <v>154</v>
      </c>
      <c r="B55" s="5">
        <v>46048</v>
      </c>
      <c r="C55" t="s">
        <v>77</v>
      </c>
      <c r="D55" t="s">
        <v>23</v>
      </c>
      <c r="E55" t="s">
        <v>78</v>
      </c>
      <c r="F55" t="s">
        <v>29</v>
      </c>
      <c r="G55" t="s">
        <v>90</v>
      </c>
      <c r="H55" t="s">
        <v>34</v>
      </c>
      <c r="I55" t="s">
        <v>48</v>
      </c>
      <c r="J55">
        <v>1268</v>
      </c>
      <c r="K55">
        <v>1284</v>
      </c>
      <c r="L55">
        <v>50</v>
      </c>
      <c r="M55">
        <v>23</v>
      </c>
      <c r="N55">
        <v>1272</v>
      </c>
      <c r="O55">
        <v>36.1</v>
      </c>
      <c r="P55">
        <v>0</v>
      </c>
      <c r="Q55" t="s">
        <v>80</v>
      </c>
      <c r="R55" t="s">
        <v>81</v>
      </c>
      <c r="S55" t="s">
        <v>138</v>
      </c>
      <c r="T55">
        <v>10</v>
      </c>
      <c r="U55">
        <v>4</v>
      </c>
      <c r="V55" s="6">
        <v>234.79</v>
      </c>
      <c r="W55" s="6">
        <v>3355.05</v>
      </c>
      <c r="X55" t="s">
        <v>83</v>
      </c>
      <c r="Y55" s="7">
        <f t="shared" si="0"/>
        <v>3.8940809968847349E-2</v>
      </c>
      <c r="Z55" s="7">
        <f t="shared" si="1"/>
        <v>0.99065420560747663</v>
      </c>
      <c r="AA55">
        <f t="shared" si="2"/>
        <v>-16</v>
      </c>
      <c r="AB55" s="8">
        <f t="shared" si="3"/>
        <v>11739.5</v>
      </c>
      <c r="AC55">
        <f t="shared" si="4"/>
        <v>51.4</v>
      </c>
      <c r="AD55" t="str">
        <f t="shared" si="5"/>
        <v>Medium</v>
      </c>
      <c r="AE55" t="str">
        <f t="shared" si="6"/>
        <v>Yes</v>
      </c>
    </row>
    <row r="56" spans="1:31" x14ac:dyDescent="0.35">
      <c r="A56" t="s">
        <v>155</v>
      </c>
      <c r="B56" s="5">
        <v>46048</v>
      </c>
      <c r="C56" t="s">
        <v>77</v>
      </c>
      <c r="D56" t="s">
        <v>23</v>
      </c>
      <c r="E56" t="s">
        <v>78</v>
      </c>
      <c r="F56" t="s">
        <v>31</v>
      </c>
      <c r="G56" t="s">
        <v>90</v>
      </c>
      <c r="H56" t="s">
        <v>37</v>
      </c>
      <c r="I56" t="s">
        <v>47</v>
      </c>
      <c r="J56">
        <v>1469</v>
      </c>
      <c r="K56">
        <v>1366</v>
      </c>
      <c r="L56">
        <v>10</v>
      </c>
      <c r="M56">
        <v>6</v>
      </c>
      <c r="N56">
        <v>1264</v>
      </c>
      <c r="O56">
        <v>28.8</v>
      </c>
      <c r="P56">
        <v>0.5</v>
      </c>
      <c r="Q56" t="s">
        <v>80</v>
      </c>
      <c r="R56" t="s">
        <v>81</v>
      </c>
      <c r="S56" t="s">
        <v>82</v>
      </c>
      <c r="T56">
        <v>4</v>
      </c>
      <c r="U56">
        <v>0</v>
      </c>
      <c r="V56" s="6">
        <v>138.63999999999999</v>
      </c>
      <c r="W56" s="6">
        <v>524.83000000000004</v>
      </c>
      <c r="X56" t="s">
        <v>110</v>
      </c>
      <c r="Y56" s="7">
        <f t="shared" si="0"/>
        <v>7.320644216691069E-3</v>
      </c>
      <c r="Z56" s="7">
        <f t="shared" si="1"/>
        <v>0.92532942898975112</v>
      </c>
      <c r="AA56">
        <f t="shared" si="2"/>
        <v>103</v>
      </c>
      <c r="AB56" s="8">
        <f t="shared" si="3"/>
        <v>1386.3999999999999</v>
      </c>
      <c r="AC56">
        <f t="shared" si="4"/>
        <v>11.3</v>
      </c>
      <c r="AD56" t="str">
        <f t="shared" si="5"/>
        <v>Low</v>
      </c>
      <c r="AE56" t="str">
        <f t="shared" si="6"/>
        <v>No</v>
      </c>
    </row>
    <row r="57" spans="1:31" x14ac:dyDescent="0.35">
      <c r="A57" t="s">
        <v>156</v>
      </c>
      <c r="B57" s="5">
        <v>46048</v>
      </c>
      <c r="C57" t="s">
        <v>77</v>
      </c>
      <c r="D57" t="s">
        <v>22</v>
      </c>
      <c r="E57" t="s">
        <v>93</v>
      </c>
      <c r="F57" t="s">
        <v>31</v>
      </c>
      <c r="G57" t="s">
        <v>79</v>
      </c>
      <c r="H57" t="s">
        <v>36</v>
      </c>
      <c r="I57" t="s">
        <v>44</v>
      </c>
      <c r="J57">
        <v>817</v>
      </c>
      <c r="K57">
        <v>755</v>
      </c>
      <c r="L57">
        <v>13</v>
      </c>
      <c r="M57">
        <v>10</v>
      </c>
      <c r="N57">
        <v>736</v>
      </c>
      <c r="O57">
        <v>31.8</v>
      </c>
      <c r="P57">
        <v>1.7</v>
      </c>
      <c r="Q57" t="s">
        <v>80</v>
      </c>
      <c r="R57" t="s">
        <v>81</v>
      </c>
      <c r="S57" t="s">
        <v>82</v>
      </c>
      <c r="T57">
        <v>5</v>
      </c>
      <c r="U57">
        <v>4</v>
      </c>
      <c r="V57" s="6">
        <v>358.08</v>
      </c>
      <c r="W57" s="6">
        <v>2610.81</v>
      </c>
      <c r="X57" t="s">
        <v>83</v>
      </c>
      <c r="Y57" s="7">
        <f t="shared" si="0"/>
        <v>1.7218543046357615E-2</v>
      </c>
      <c r="Z57" s="7">
        <f t="shared" si="1"/>
        <v>0.97483443708609274</v>
      </c>
      <c r="AA57">
        <f t="shared" si="2"/>
        <v>62</v>
      </c>
      <c r="AB57" s="8">
        <f t="shared" si="3"/>
        <v>4655.04</v>
      </c>
      <c r="AC57">
        <f t="shared" si="4"/>
        <v>20.6</v>
      </c>
      <c r="AD57" t="str">
        <f t="shared" si="5"/>
        <v>Low</v>
      </c>
      <c r="AE57" t="str">
        <f t="shared" si="6"/>
        <v>No</v>
      </c>
    </row>
    <row r="58" spans="1:31" x14ac:dyDescent="0.35">
      <c r="A58" t="s">
        <v>157</v>
      </c>
      <c r="B58" s="5">
        <v>46048</v>
      </c>
      <c r="C58" t="s">
        <v>77</v>
      </c>
      <c r="D58" t="s">
        <v>20</v>
      </c>
      <c r="E58" t="s">
        <v>78</v>
      </c>
      <c r="F58" t="s">
        <v>31</v>
      </c>
      <c r="G58" t="s">
        <v>79</v>
      </c>
      <c r="H58" t="s">
        <v>38</v>
      </c>
      <c r="I58" t="s">
        <v>47</v>
      </c>
      <c r="J58">
        <v>1288</v>
      </c>
      <c r="K58">
        <v>1232</v>
      </c>
      <c r="L58">
        <v>24</v>
      </c>
      <c r="M58">
        <v>10</v>
      </c>
      <c r="N58">
        <v>1214</v>
      </c>
      <c r="O58">
        <v>72.7</v>
      </c>
      <c r="P58">
        <v>11.5</v>
      </c>
      <c r="Q58" t="s">
        <v>80</v>
      </c>
      <c r="R58" t="s">
        <v>81</v>
      </c>
      <c r="S58" t="s">
        <v>82</v>
      </c>
      <c r="T58">
        <v>8</v>
      </c>
      <c r="U58">
        <v>3</v>
      </c>
      <c r="V58" s="6">
        <v>416.59</v>
      </c>
      <c r="W58" s="6">
        <v>3938.47</v>
      </c>
      <c r="X58" t="s">
        <v>83</v>
      </c>
      <c r="Y58" s="7">
        <f t="shared" si="0"/>
        <v>1.948051948051948E-2</v>
      </c>
      <c r="Z58" s="7">
        <f t="shared" si="1"/>
        <v>0.98538961038961037</v>
      </c>
      <c r="AA58">
        <f t="shared" si="2"/>
        <v>56</v>
      </c>
      <c r="AB58" s="8">
        <f t="shared" si="3"/>
        <v>9998.16</v>
      </c>
      <c r="AC58">
        <f t="shared" si="4"/>
        <v>35.1</v>
      </c>
      <c r="AD58" t="str">
        <f t="shared" si="5"/>
        <v>Low</v>
      </c>
      <c r="AE58" t="str">
        <f t="shared" si="6"/>
        <v>No</v>
      </c>
    </row>
    <row r="59" spans="1:31" x14ac:dyDescent="0.35">
      <c r="A59" t="s">
        <v>158</v>
      </c>
      <c r="B59" s="5">
        <v>46048</v>
      </c>
      <c r="C59" t="s">
        <v>77</v>
      </c>
      <c r="D59" t="s">
        <v>24</v>
      </c>
      <c r="E59" t="s">
        <v>78</v>
      </c>
      <c r="F59" t="s">
        <v>27</v>
      </c>
      <c r="G59" t="s">
        <v>85</v>
      </c>
      <c r="H59" t="s">
        <v>34</v>
      </c>
      <c r="I59" t="s">
        <v>47</v>
      </c>
      <c r="J59">
        <v>1465</v>
      </c>
      <c r="K59">
        <v>1491</v>
      </c>
      <c r="L59">
        <v>41</v>
      </c>
      <c r="M59">
        <v>18</v>
      </c>
      <c r="N59">
        <v>1485</v>
      </c>
      <c r="O59">
        <v>74.099999999999994</v>
      </c>
      <c r="P59">
        <v>0</v>
      </c>
      <c r="Q59" t="s">
        <v>80</v>
      </c>
      <c r="R59" t="s">
        <v>81</v>
      </c>
      <c r="S59" t="s">
        <v>138</v>
      </c>
      <c r="T59">
        <v>4</v>
      </c>
      <c r="U59">
        <v>4</v>
      </c>
      <c r="V59" s="6">
        <v>307.83999999999997</v>
      </c>
      <c r="W59" s="6">
        <v>8742.36</v>
      </c>
      <c r="X59" t="s">
        <v>94</v>
      </c>
      <c r="Y59" s="7">
        <f t="shared" si="0"/>
        <v>2.7498323272971161E-2</v>
      </c>
      <c r="Z59" s="7">
        <f t="shared" si="1"/>
        <v>0.99597585513078468</v>
      </c>
      <c r="AA59">
        <f t="shared" si="2"/>
        <v>-26</v>
      </c>
      <c r="AB59" s="8">
        <f t="shared" si="3"/>
        <v>12621.439999999999</v>
      </c>
      <c r="AC59">
        <f t="shared" si="4"/>
        <v>39.700000000000003</v>
      </c>
      <c r="AD59" t="str">
        <f t="shared" si="5"/>
        <v>Low</v>
      </c>
      <c r="AE59" t="str">
        <f t="shared" si="6"/>
        <v>Yes</v>
      </c>
    </row>
    <row r="60" spans="1:31" x14ac:dyDescent="0.35">
      <c r="A60" t="s">
        <v>159</v>
      </c>
      <c r="B60" s="5">
        <v>46048</v>
      </c>
      <c r="C60" t="s">
        <v>77</v>
      </c>
      <c r="D60" t="s">
        <v>24</v>
      </c>
      <c r="E60" t="s">
        <v>78</v>
      </c>
      <c r="F60" t="s">
        <v>30</v>
      </c>
      <c r="G60" t="s">
        <v>90</v>
      </c>
      <c r="H60" t="s">
        <v>40</v>
      </c>
      <c r="I60" t="s">
        <v>47</v>
      </c>
      <c r="J60">
        <v>1449</v>
      </c>
      <c r="K60">
        <v>1393</v>
      </c>
      <c r="L60">
        <v>28</v>
      </c>
      <c r="M60">
        <v>14</v>
      </c>
      <c r="N60">
        <v>1259</v>
      </c>
      <c r="O60">
        <v>21.3</v>
      </c>
      <c r="P60">
        <v>9</v>
      </c>
      <c r="Q60" t="s">
        <v>80</v>
      </c>
      <c r="R60" t="s">
        <v>81</v>
      </c>
      <c r="S60" t="s">
        <v>82</v>
      </c>
      <c r="T60">
        <v>10</v>
      </c>
      <c r="U60">
        <v>6</v>
      </c>
      <c r="V60" s="6">
        <v>284.52</v>
      </c>
      <c r="W60" s="6">
        <v>3558.73</v>
      </c>
      <c r="X60" t="s">
        <v>94</v>
      </c>
      <c r="Y60" s="7">
        <f t="shared" si="0"/>
        <v>2.0100502512562814E-2</v>
      </c>
      <c r="Z60" s="7">
        <f t="shared" si="1"/>
        <v>0.90380473797559224</v>
      </c>
      <c r="AA60">
        <f t="shared" si="2"/>
        <v>56</v>
      </c>
      <c r="AB60" s="8">
        <f t="shared" si="3"/>
        <v>7966.5599999999995</v>
      </c>
      <c r="AC60">
        <f t="shared" si="4"/>
        <v>36.1</v>
      </c>
      <c r="AD60" t="str">
        <f t="shared" si="5"/>
        <v>Low</v>
      </c>
      <c r="AE60" t="str">
        <f t="shared" si="6"/>
        <v>No</v>
      </c>
    </row>
    <row r="61" spans="1:31" x14ac:dyDescent="0.35">
      <c r="A61" t="s">
        <v>160</v>
      </c>
      <c r="B61" s="5">
        <v>46048</v>
      </c>
      <c r="C61" t="s">
        <v>77</v>
      </c>
      <c r="D61" t="s">
        <v>24</v>
      </c>
      <c r="E61" t="s">
        <v>78</v>
      </c>
      <c r="F61" t="s">
        <v>31</v>
      </c>
      <c r="G61" t="s">
        <v>79</v>
      </c>
      <c r="H61" t="s">
        <v>38</v>
      </c>
      <c r="I61" t="s">
        <v>45</v>
      </c>
      <c r="J61">
        <v>1253</v>
      </c>
      <c r="K61">
        <v>1337</v>
      </c>
      <c r="L61">
        <v>50</v>
      </c>
      <c r="M61">
        <v>26</v>
      </c>
      <c r="N61">
        <v>1320</v>
      </c>
      <c r="O61">
        <v>65.8</v>
      </c>
      <c r="P61">
        <v>6</v>
      </c>
      <c r="Q61" t="s">
        <v>86</v>
      </c>
      <c r="R61" t="s">
        <v>81</v>
      </c>
      <c r="S61" t="s">
        <v>82</v>
      </c>
      <c r="T61">
        <v>10</v>
      </c>
      <c r="U61">
        <v>6</v>
      </c>
      <c r="V61" s="6">
        <v>247.83</v>
      </c>
      <c r="W61" s="6">
        <v>4949.5</v>
      </c>
      <c r="X61" t="s">
        <v>94</v>
      </c>
      <c r="Y61" s="7">
        <f t="shared" si="0"/>
        <v>3.7397157816005985E-2</v>
      </c>
      <c r="Z61" s="7">
        <f t="shared" si="1"/>
        <v>0.98728496634255791</v>
      </c>
      <c r="AA61">
        <f t="shared" si="2"/>
        <v>-84</v>
      </c>
      <c r="AB61" s="8">
        <f t="shared" si="3"/>
        <v>12391.5</v>
      </c>
      <c r="AC61">
        <f t="shared" si="4"/>
        <v>63.8</v>
      </c>
      <c r="AD61" t="str">
        <f t="shared" si="5"/>
        <v>Medium</v>
      </c>
      <c r="AE61" t="str">
        <f t="shared" si="6"/>
        <v>Yes</v>
      </c>
    </row>
    <row r="62" spans="1:31" x14ac:dyDescent="0.35">
      <c r="A62" t="s">
        <v>161</v>
      </c>
      <c r="B62" s="5">
        <v>46055</v>
      </c>
      <c r="C62" t="s">
        <v>162</v>
      </c>
      <c r="D62" t="s">
        <v>22</v>
      </c>
      <c r="E62" t="s">
        <v>93</v>
      </c>
      <c r="F62" t="s">
        <v>31</v>
      </c>
      <c r="G62" t="s">
        <v>90</v>
      </c>
      <c r="H62" t="s">
        <v>34</v>
      </c>
      <c r="I62" t="s">
        <v>45</v>
      </c>
      <c r="J62">
        <v>1292</v>
      </c>
      <c r="K62">
        <v>1306</v>
      </c>
      <c r="L62">
        <v>41</v>
      </c>
      <c r="M62">
        <v>26</v>
      </c>
      <c r="N62">
        <v>1266</v>
      </c>
      <c r="O62">
        <v>20</v>
      </c>
      <c r="P62">
        <v>2.5</v>
      </c>
      <c r="Q62" t="s">
        <v>80</v>
      </c>
      <c r="R62" t="s">
        <v>81</v>
      </c>
      <c r="S62" t="s">
        <v>82</v>
      </c>
      <c r="T62">
        <v>8</v>
      </c>
      <c r="U62">
        <v>3</v>
      </c>
      <c r="V62" s="6">
        <v>294.77999999999997</v>
      </c>
      <c r="W62" s="6">
        <v>3499.71</v>
      </c>
      <c r="X62" t="s">
        <v>94</v>
      </c>
      <c r="Y62" s="7">
        <f t="shared" si="0"/>
        <v>3.139356814701378E-2</v>
      </c>
      <c r="Z62" s="7">
        <f t="shared" si="1"/>
        <v>0.96937212863705968</v>
      </c>
      <c r="AA62">
        <f t="shared" si="2"/>
        <v>-14</v>
      </c>
      <c r="AB62" s="8">
        <f t="shared" si="3"/>
        <v>12085.98</v>
      </c>
      <c r="AC62">
        <f t="shared" si="4"/>
        <v>36</v>
      </c>
      <c r="AD62" t="str">
        <f t="shared" si="5"/>
        <v>Low</v>
      </c>
      <c r="AE62" t="str">
        <f t="shared" si="6"/>
        <v>No</v>
      </c>
    </row>
    <row r="63" spans="1:31" x14ac:dyDescent="0.35">
      <c r="A63" t="s">
        <v>163</v>
      </c>
      <c r="B63" s="5">
        <v>46055</v>
      </c>
      <c r="C63" t="s">
        <v>162</v>
      </c>
      <c r="D63" t="s">
        <v>25</v>
      </c>
      <c r="E63" t="s">
        <v>89</v>
      </c>
      <c r="F63" t="s">
        <v>31</v>
      </c>
      <c r="G63" t="s">
        <v>79</v>
      </c>
      <c r="H63" t="s">
        <v>36</v>
      </c>
      <c r="I63" t="s">
        <v>47</v>
      </c>
      <c r="J63">
        <v>1179</v>
      </c>
      <c r="K63">
        <v>1106</v>
      </c>
      <c r="L63">
        <v>27</v>
      </c>
      <c r="M63">
        <v>9</v>
      </c>
      <c r="N63">
        <v>1052</v>
      </c>
      <c r="O63">
        <v>50</v>
      </c>
      <c r="P63">
        <v>11.2</v>
      </c>
      <c r="Q63" t="s">
        <v>80</v>
      </c>
      <c r="R63" t="s">
        <v>81</v>
      </c>
      <c r="S63" t="s">
        <v>82</v>
      </c>
      <c r="T63">
        <v>3</v>
      </c>
      <c r="U63">
        <v>4</v>
      </c>
      <c r="V63" s="6">
        <v>412.45</v>
      </c>
      <c r="W63" s="6">
        <v>4687.34</v>
      </c>
      <c r="X63" t="s">
        <v>94</v>
      </c>
      <c r="Y63" s="7">
        <f t="shared" si="0"/>
        <v>2.4412296564195298E-2</v>
      </c>
      <c r="Z63" s="7">
        <f t="shared" si="1"/>
        <v>0.9511754068716094</v>
      </c>
      <c r="AA63">
        <f t="shared" si="2"/>
        <v>73</v>
      </c>
      <c r="AB63" s="8">
        <f t="shared" si="3"/>
        <v>11136.15</v>
      </c>
      <c r="AC63">
        <f t="shared" si="4"/>
        <v>41.2</v>
      </c>
      <c r="AD63" t="str">
        <f t="shared" si="5"/>
        <v>Medium</v>
      </c>
      <c r="AE63" t="str">
        <f t="shared" si="6"/>
        <v>No</v>
      </c>
    </row>
    <row r="64" spans="1:31" x14ac:dyDescent="0.35">
      <c r="A64" t="s">
        <v>164</v>
      </c>
      <c r="B64" s="5">
        <v>46055</v>
      </c>
      <c r="C64" t="s">
        <v>162</v>
      </c>
      <c r="D64" t="s">
        <v>25</v>
      </c>
      <c r="E64" t="s">
        <v>89</v>
      </c>
      <c r="F64" t="s">
        <v>27</v>
      </c>
      <c r="G64" t="s">
        <v>85</v>
      </c>
      <c r="H64" t="s">
        <v>39</v>
      </c>
      <c r="I64" t="s">
        <v>42</v>
      </c>
      <c r="J64">
        <v>964</v>
      </c>
      <c r="K64">
        <v>953</v>
      </c>
      <c r="L64">
        <v>26</v>
      </c>
      <c r="M64">
        <v>12</v>
      </c>
      <c r="N64">
        <v>849</v>
      </c>
      <c r="O64">
        <v>45.3</v>
      </c>
      <c r="P64">
        <v>4.4000000000000004</v>
      </c>
      <c r="Q64" t="s">
        <v>80</v>
      </c>
      <c r="R64" t="s">
        <v>81</v>
      </c>
      <c r="S64" t="s">
        <v>82</v>
      </c>
      <c r="T64">
        <v>7</v>
      </c>
      <c r="U64">
        <v>2</v>
      </c>
      <c r="V64" s="6">
        <v>330.21</v>
      </c>
      <c r="W64" s="6">
        <v>2829.34</v>
      </c>
      <c r="X64" t="s">
        <v>94</v>
      </c>
      <c r="Y64" s="7">
        <f t="shared" si="0"/>
        <v>2.7282266526757609E-2</v>
      </c>
      <c r="Z64" s="7">
        <f t="shared" si="1"/>
        <v>0.89087093389296956</v>
      </c>
      <c r="AA64">
        <f t="shared" si="2"/>
        <v>11</v>
      </c>
      <c r="AB64" s="8">
        <f t="shared" si="3"/>
        <v>8585.4599999999991</v>
      </c>
      <c r="AC64">
        <f t="shared" si="4"/>
        <v>37.9</v>
      </c>
      <c r="AD64" t="str">
        <f t="shared" si="5"/>
        <v>Low</v>
      </c>
      <c r="AE64" t="str">
        <f t="shared" si="6"/>
        <v>No</v>
      </c>
    </row>
    <row r="65" spans="1:31" x14ac:dyDescent="0.35">
      <c r="A65" t="s">
        <v>165</v>
      </c>
      <c r="B65" s="5">
        <v>46055</v>
      </c>
      <c r="C65" t="s">
        <v>162</v>
      </c>
      <c r="D65" t="s">
        <v>20</v>
      </c>
      <c r="E65" t="s">
        <v>78</v>
      </c>
      <c r="F65" t="s">
        <v>29</v>
      </c>
      <c r="G65" t="s">
        <v>90</v>
      </c>
      <c r="H65" t="s">
        <v>36</v>
      </c>
      <c r="I65" t="s">
        <v>46</v>
      </c>
      <c r="J65">
        <v>813</v>
      </c>
      <c r="K65">
        <v>815</v>
      </c>
      <c r="L65">
        <v>18</v>
      </c>
      <c r="M65">
        <v>9</v>
      </c>
      <c r="N65">
        <v>800</v>
      </c>
      <c r="O65">
        <v>24.5</v>
      </c>
      <c r="P65">
        <v>7.8</v>
      </c>
      <c r="Q65" t="s">
        <v>80</v>
      </c>
      <c r="R65" t="s">
        <v>81</v>
      </c>
      <c r="S65" t="s">
        <v>138</v>
      </c>
      <c r="T65">
        <v>6</v>
      </c>
      <c r="U65">
        <v>2</v>
      </c>
      <c r="V65" s="6">
        <v>136.29</v>
      </c>
      <c r="W65" s="6">
        <v>1133.78</v>
      </c>
      <c r="X65" t="s">
        <v>94</v>
      </c>
      <c r="Y65" s="7">
        <f t="shared" si="0"/>
        <v>2.2085889570552148E-2</v>
      </c>
      <c r="Z65" s="7">
        <f t="shared" si="1"/>
        <v>0.98159509202453987</v>
      </c>
      <c r="AA65">
        <f t="shared" si="2"/>
        <v>-2</v>
      </c>
      <c r="AB65" s="8">
        <f t="shared" si="3"/>
        <v>2453.2199999999998</v>
      </c>
      <c r="AC65">
        <f t="shared" si="4"/>
        <v>45.1</v>
      </c>
      <c r="AD65" t="str">
        <f t="shared" si="5"/>
        <v>Medium</v>
      </c>
      <c r="AE65" t="str">
        <f t="shared" si="6"/>
        <v>Yes</v>
      </c>
    </row>
    <row r="66" spans="1:31" x14ac:dyDescent="0.35">
      <c r="A66" t="s">
        <v>166</v>
      </c>
      <c r="B66" s="5">
        <v>46055</v>
      </c>
      <c r="C66" t="s">
        <v>162</v>
      </c>
      <c r="D66" t="s">
        <v>24</v>
      </c>
      <c r="E66" t="s">
        <v>78</v>
      </c>
      <c r="F66" t="s">
        <v>30</v>
      </c>
      <c r="G66" t="s">
        <v>90</v>
      </c>
      <c r="H66" t="s">
        <v>36</v>
      </c>
      <c r="I66" t="s">
        <v>47</v>
      </c>
      <c r="J66">
        <v>1537</v>
      </c>
      <c r="K66">
        <v>1510</v>
      </c>
      <c r="L66">
        <v>28</v>
      </c>
      <c r="M66">
        <v>13</v>
      </c>
      <c r="N66">
        <v>1403</v>
      </c>
      <c r="O66">
        <v>70.8</v>
      </c>
      <c r="P66">
        <v>10.6</v>
      </c>
      <c r="Q66" t="s">
        <v>80</v>
      </c>
      <c r="R66" t="s">
        <v>81</v>
      </c>
      <c r="S66" t="s">
        <v>82</v>
      </c>
      <c r="T66">
        <v>6</v>
      </c>
      <c r="U66">
        <v>0</v>
      </c>
      <c r="V66" s="6">
        <v>265.3</v>
      </c>
      <c r="W66" s="6">
        <v>3321.66</v>
      </c>
      <c r="X66" t="s">
        <v>151</v>
      </c>
      <c r="Y66" s="7">
        <f t="shared" ref="Y66:Y129" si="7">IFERROR(L66/K66,0)</f>
        <v>1.8543046357615896E-2</v>
      </c>
      <c r="Z66" s="7">
        <f t="shared" ref="Z66:Z129" si="8">IFERROR(N66/K66,0)</f>
        <v>0.92913907284768216</v>
      </c>
      <c r="AA66">
        <f t="shared" ref="AA66:AA129" si="9">J66-K66</f>
        <v>27</v>
      </c>
      <c r="AB66" s="8">
        <f t="shared" ref="AB66:AB129" si="10">L66*V66</f>
        <v>7428.4000000000005</v>
      </c>
      <c r="AC66">
        <f t="shared" ref="AC66:AC129" si="11">ROUND(MIN(100,(Y66*1000)+(1-Z66)*45+(P66*1.3)+IF(Q66="Late",18,IF(Q66="Pending",10,0))+IF(R66="Yes",20,0)+IF(S66="Decision Required",12,0)),1)</f>
        <v>35.5</v>
      </c>
      <c r="AD66" t="str">
        <f t="shared" ref="AD66:AD129" si="12">IF(AC66&gt;=65,"High",IF(AC66&gt;=40,"Medium","Low"))</f>
        <v>Low</v>
      </c>
      <c r="AE66" t="str">
        <f t="shared" ref="AE66:AE129" si="13">IF(OR(AD66="High",Q66="Late",R66="Yes",S66="Decision Required"),"Yes","No")</f>
        <v>No</v>
      </c>
    </row>
    <row r="67" spans="1:31" x14ac:dyDescent="0.35">
      <c r="A67" t="s">
        <v>167</v>
      </c>
      <c r="B67" s="5">
        <v>46055</v>
      </c>
      <c r="C67" t="s">
        <v>162</v>
      </c>
      <c r="D67" t="s">
        <v>23</v>
      </c>
      <c r="E67" t="s">
        <v>78</v>
      </c>
      <c r="F67" t="s">
        <v>31</v>
      </c>
      <c r="G67" t="s">
        <v>85</v>
      </c>
      <c r="H67" t="s">
        <v>38</v>
      </c>
      <c r="I67" t="s">
        <v>47</v>
      </c>
      <c r="J67">
        <v>882</v>
      </c>
      <c r="K67">
        <v>822</v>
      </c>
      <c r="L67">
        <v>11</v>
      </c>
      <c r="M67">
        <v>5</v>
      </c>
      <c r="N67">
        <v>739</v>
      </c>
      <c r="O67">
        <v>57</v>
      </c>
      <c r="P67">
        <v>2.5</v>
      </c>
      <c r="Q67" t="s">
        <v>86</v>
      </c>
      <c r="R67" t="s">
        <v>81</v>
      </c>
      <c r="S67" t="s">
        <v>138</v>
      </c>
      <c r="T67">
        <v>2</v>
      </c>
      <c r="U67">
        <v>2</v>
      </c>
      <c r="V67" s="6">
        <v>232.32</v>
      </c>
      <c r="W67" s="6">
        <v>1695.2</v>
      </c>
      <c r="X67" t="s">
        <v>115</v>
      </c>
      <c r="Y67" s="7">
        <f t="shared" si="7"/>
        <v>1.3381995133819951E-2</v>
      </c>
      <c r="Z67" s="7">
        <f t="shared" si="8"/>
        <v>0.8990267639902676</v>
      </c>
      <c r="AA67">
        <f t="shared" si="9"/>
        <v>60</v>
      </c>
      <c r="AB67" s="8">
        <f t="shared" si="10"/>
        <v>2555.52</v>
      </c>
      <c r="AC67">
        <f t="shared" si="11"/>
        <v>51.2</v>
      </c>
      <c r="AD67" t="str">
        <f t="shared" si="12"/>
        <v>Medium</v>
      </c>
      <c r="AE67" t="str">
        <f t="shared" si="13"/>
        <v>Yes</v>
      </c>
    </row>
    <row r="68" spans="1:31" x14ac:dyDescent="0.35">
      <c r="A68" t="s">
        <v>168</v>
      </c>
      <c r="B68" s="5">
        <v>46055</v>
      </c>
      <c r="C68" t="s">
        <v>162</v>
      </c>
      <c r="D68" t="s">
        <v>25</v>
      </c>
      <c r="E68" t="s">
        <v>89</v>
      </c>
      <c r="F68" t="s">
        <v>31</v>
      </c>
      <c r="G68" t="s">
        <v>85</v>
      </c>
      <c r="H68" t="s">
        <v>37</v>
      </c>
      <c r="I68" t="s">
        <v>46</v>
      </c>
      <c r="J68">
        <v>991</v>
      </c>
      <c r="K68">
        <v>941</v>
      </c>
      <c r="L68">
        <v>7</v>
      </c>
      <c r="M68">
        <v>3</v>
      </c>
      <c r="N68">
        <v>921</v>
      </c>
      <c r="O68">
        <v>74.900000000000006</v>
      </c>
      <c r="P68">
        <v>4.4000000000000004</v>
      </c>
      <c r="Q68" t="s">
        <v>80</v>
      </c>
      <c r="R68" t="s">
        <v>81</v>
      </c>
      <c r="S68" t="s">
        <v>138</v>
      </c>
      <c r="T68">
        <v>0</v>
      </c>
      <c r="U68">
        <v>0</v>
      </c>
      <c r="V68" s="6">
        <v>445.48</v>
      </c>
      <c r="W68" s="6">
        <v>881.19</v>
      </c>
      <c r="X68" t="s">
        <v>151</v>
      </c>
      <c r="Y68" s="7">
        <f t="shared" si="7"/>
        <v>7.4388947927736451E-3</v>
      </c>
      <c r="Z68" s="7">
        <f t="shared" si="8"/>
        <v>0.97874601487778956</v>
      </c>
      <c r="AA68">
        <f t="shared" si="9"/>
        <v>50</v>
      </c>
      <c r="AB68" s="8">
        <f t="shared" si="10"/>
        <v>3118.36</v>
      </c>
      <c r="AC68">
        <f t="shared" si="11"/>
        <v>26.1</v>
      </c>
      <c r="AD68" t="str">
        <f t="shared" si="12"/>
        <v>Low</v>
      </c>
      <c r="AE68" t="str">
        <f t="shared" si="13"/>
        <v>Yes</v>
      </c>
    </row>
    <row r="69" spans="1:31" x14ac:dyDescent="0.35">
      <c r="A69" t="s">
        <v>169</v>
      </c>
      <c r="B69" s="5">
        <v>46055</v>
      </c>
      <c r="C69" t="s">
        <v>162</v>
      </c>
      <c r="D69" t="s">
        <v>24</v>
      </c>
      <c r="E69" t="s">
        <v>78</v>
      </c>
      <c r="F69" t="s">
        <v>32</v>
      </c>
      <c r="G69" t="s">
        <v>79</v>
      </c>
      <c r="H69" t="s">
        <v>37</v>
      </c>
      <c r="I69" t="s">
        <v>47</v>
      </c>
      <c r="J69">
        <v>1453</v>
      </c>
      <c r="K69">
        <v>1608</v>
      </c>
      <c r="L69">
        <v>35</v>
      </c>
      <c r="M69">
        <v>13</v>
      </c>
      <c r="N69">
        <v>1553</v>
      </c>
      <c r="O69">
        <v>66.5</v>
      </c>
      <c r="P69">
        <v>12.8</v>
      </c>
      <c r="Q69" t="s">
        <v>86</v>
      </c>
      <c r="R69" t="s">
        <v>81</v>
      </c>
      <c r="S69" t="s">
        <v>82</v>
      </c>
      <c r="T69">
        <v>6</v>
      </c>
      <c r="U69">
        <v>5</v>
      </c>
      <c r="V69" s="6">
        <v>173.23</v>
      </c>
      <c r="W69" s="6">
        <v>2160.5500000000002</v>
      </c>
      <c r="X69" t="s">
        <v>91</v>
      </c>
      <c r="Y69" s="7">
        <f t="shared" si="7"/>
        <v>2.1766169154228857E-2</v>
      </c>
      <c r="Z69" s="7">
        <f t="shared" si="8"/>
        <v>0.96579601990049746</v>
      </c>
      <c r="AA69">
        <f t="shared" si="9"/>
        <v>-155</v>
      </c>
      <c r="AB69" s="8">
        <f t="shared" si="10"/>
        <v>6063.0499999999993</v>
      </c>
      <c r="AC69">
        <f t="shared" si="11"/>
        <v>57.9</v>
      </c>
      <c r="AD69" t="str">
        <f t="shared" si="12"/>
        <v>Medium</v>
      </c>
      <c r="AE69" t="str">
        <f t="shared" si="13"/>
        <v>Yes</v>
      </c>
    </row>
    <row r="70" spans="1:31" x14ac:dyDescent="0.35">
      <c r="A70" t="s">
        <v>170</v>
      </c>
      <c r="B70" s="5">
        <v>46055</v>
      </c>
      <c r="C70" t="s">
        <v>162</v>
      </c>
      <c r="D70" t="s">
        <v>20</v>
      </c>
      <c r="E70" t="s">
        <v>78</v>
      </c>
      <c r="F70" t="s">
        <v>27</v>
      </c>
      <c r="G70" t="s">
        <v>85</v>
      </c>
      <c r="H70" t="s">
        <v>40</v>
      </c>
      <c r="I70" t="s">
        <v>46</v>
      </c>
      <c r="J70">
        <v>911</v>
      </c>
      <c r="K70">
        <v>964</v>
      </c>
      <c r="L70">
        <v>18</v>
      </c>
      <c r="M70">
        <v>7</v>
      </c>
      <c r="N70">
        <v>861</v>
      </c>
      <c r="O70">
        <v>40.799999999999997</v>
      </c>
      <c r="P70">
        <v>13.1</v>
      </c>
      <c r="Q70" t="s">
        <v>86</v>
      </c>
      <c r="R70" t="s">
        <v>81</v>
      </c>
      <c r="S70" t="s">
        <v>82</v>
      </c>
      <c r="T70">
        <v>4</v>
      </c>
      <c r="U70">
        <v>0</v>
      </c>
      <c r="V70" s="6">
        <v>420.22</v>
      </c>
      <c r="W70" s="6">
        <v>2905.7</v>
      </c>
      <c r="X70" t="s">
        <v>151</v>
      </c>
      <c r="Y70" s="7">
        <f t="shared" si="7"/>
        <v>1.8672199170124481E-2</v>
      </c>
      <c r="Z70" s="7">
        <f t="shared" si="8"/>
        <v>0.8931535269709544</v>
      </c>
      <c r="AA70">
        <f t="shared" si="9"/>
        <v>-53</v>
      </c>
      <c r="AB70" s="8">
        <f t="shared" si="10"/>
        <v>7563.9600000000009</v>
      </c>
      <c r="AC70">
        <f t="shared" si="11"/>
        <v>58.5</v>
      </c>
      <c r="AD70" t="str">
        <f t="shared" si="12"/>
        <v>Medium</v>
      </c>
      <c r="AE70" t="str">
        <f t="shared" si="13"/>
        <v>Yes</v>
      </c>
    </row>
    <row r="71" spans="1:31" x14ac:dyDescent="0.35">
      <c r="A71" t="s">
        <v>171</v>
      </c>
      <c r="B71" s="5">
        <v>46055</v>
      </c>
      <c r="C71" t="s">
        <v>162</v>
      </c>
      <c r="D71" t="s">
        <v>23</v>
      </c>
      <c r="E71" t="s">
        <v>78</v>
      </c>
      <c r="F71" t="s">
        <v>30</v>
      </c>
      <c r="G71" t="s">
        <v>90</v>
      </c>
      <c r="H71" t="s">
        <v>36</v>
      </c>
      <c r="I71" t="s">
        <v>47</v>
      </c>
      <c r="J71">
        <v>1354</v>
      </c>
      <c r="K71">
        <v>1329</v>
      </c>
      <c r="L71">
        <v>50</v>
      </c>
      <c r="M71">
        <v>41</v>
      </c>
      <c r="N71">
        <v>1310</v>
      </c>
      <c r="O71">
        <v>21.3</v>
      </c>
      <c r="P71">
        <v>10.199999999999999</v>
      </c>
      <c r="Q71" t="s">
        <v>80</v>
      </c>
      <c r="R71" t="s">
        <v>81</v>
      </c>
      <c r="S71" t="s">
        <v>82</v>
      </c>
      <c r="T71">
        <v>5</v>
      </c>
      <c r="U71">
        <v>5</v>
      </c>
      <c r="V71" s="6">
        <v>144.19999999999999</v>
      </c>
      <c r="W71" s="6">
        <v>4227.67</v>
      </c>
      <c r="X71" t="s">
        <v>87</v>
      </c>
      <c r="Y71" s="7">
        <f t="shared" si="7"/>
        <v>3.7622272385252072E-2</v>
      </c>
      <c r="Z71" s="7">
        <f t="shared" si="8"/>
        <v>0.9857035364936042</v>
      </c>
      <c r="AA71">
        <f t="shared" si="9"/>
        <v>25</v>
      </c>
      <c r="AB71" s="8">
        <f t="shared" si="10"/>
        <v>7209.9999999999991</v>
      </c>
      <c r="AC71">
        <f t="shared" si="11"/>
        <v>51.5</v>
      </c>
      <c r="AD71" t="str">
        <f t="shared" si="12"/>
        <v>Medium</v>
      </c>
      <c r="AE71" t="str">
        <f t="shared" si="13"/>
        <v>No</v>
      </c>
    </row>
    <row r="72" spans="1:31" x14ac:dyDescent="0.35">
      <c r="A72" t="s">
        <v>172</v>
      </c>
      <c r="B72" s="5">
        <v>46055</v>
      </c>
      <c r="C72" t="s">
        <v>162</v>
      </c>
      <c r="D72" t="s">
        <v>22</v>
      </c>
      <c r="E72" t="s">
        <v>93</v>
      </c>
      <c r="F72" t="s">
        <v>30</v>
      </c>
      <c r="G72" t="s">
        <v>79</v>
      </c>
      <c r="H72" t="s">
        <v>40</v>
      </c>
      <c r="I72" t="s">
        <v>46</v>
      </c>
      <c r="J72">
        <v>964</v>
      </c>
      <c r="K72">
        <v>970</v>
      </c>
      <c r="L72">
        <v>3</v>
      </c>
      <c r="M72">
        <v>2</v>
      </c>
      <c r="N72">
        <v>964</v>
      </c>
      <c r="O72">
        <v>48.5</v>
      </c>
      <c r="P72">
        <v>10</v>
      </c>
      <c r="Q72" t="s">
        <v>80</v>
      </c>
      <c r="R72" t="s">
        <v>81</v>
      </c>
      <c r="S72" t="s">
        <v>82</v>
      </c>
      <c r="T72">
        <v>4</v>
      </c>
      <c r="U72">
        <v>3</v>
      </c>
      <c r="V72" s="6">
        <v>124.96</v>
      </c>
      <c r="W72" s="6">
        <v>251.77</v>
      </c>
      <c r="X72" t="s">
        <v>94</v>
      </c>
      <c r="Y72" s="7">
        <f t="shared" si="7"/>
        <v>3.092783505154639E-3</v>
      </c>
      <c r="Z72" s="7">
        <f t="shared" si="8"/>
        <v>0.99381443298969074</v>
      </c>
      <c r="AA72">
        <f t="shared" si="9"/>
        <v>-6</v>
      </c>
      <c r="AB72" s="8">
        <f t="shared" si="10"/>
        <v>374.88</v>
      </c>
      <c r="AC72">
        <f t="shared" si="11"/>
        <v>16.399999999999999</v>
      </c>
      <c r="AD72" t="str">
        <f t="shared" si="12"/>
        <v>Low</v>
      </c>
      <c r="AE72" t="str">
        <f t="shared" si="13"/>
        <v>No</v>
      </c>
    </row>
    <row r="73" spans="1:31" x14ac:dyDescent="0.35">
      <c r="A73" t="s">
        <v>173</v>
      </c>
      <c r="B73" s="5">
        <v>46055</v>
      </c>
      <c r="C73" t="s">
        <v>162</v>
      </c>
      <c r="D73" t="s">
        <v>25</v>
      </c>
      <c r="E73" t="s">
        <v>89</v>
      </c>
      <c r="F73" t="s">
        <v>27</v>
      </c>
      <c r="G73" t="s">
        <v>90</v>
      </c>
      <c r="H73" t="s">
        <v>37</v>
      </c>
      <c r="I73" t="s">
        <v>46</v>
      </c>
      <c r="J73">
        <v>1225</v>
      </c>
      <c r="K73">
        <v>1285</v>
      </c>
      <c r="L73">
        <v>18</v>
      </c>
      <c r="M73">
        <v>14</v>
      </c>
      <c r="N73">
        <v>1259</v>
      </c>
      <c r="O73">
        <v>72.7</v>
      </c>
      <c r="P73">
        <v>2.7</v>
      </c>
      <c r="Q73" t="s">
        <v>80</v>
      </c>
      <c r="R73" t="s">
        <v>81</v>
      </c>
      <c r="S73" t="s">
        <v>100</v>
      </c>
      <c r="T73">
        <v>0</v>
      </c>
      <c r="U73">
        <v>0</v>
      </c>
      <c r="V73" s="6">
        <v>224.85</v>
      </c>
      <c r="W73" s="6">
        <v>1590.78</v>
      </c>
      <c r="X73" t="s">
        <v>87</v>
      </c>
      <c r="Y73" s="7">
        <f t="shared" si="7"/>
        <v>1.4007782101167316E-2</v>
      </c>
      <c r="Z73" s="7">
        <f t="shared" si="8"/>
        <v>0.97976653696498051</v>
      </c>
      <c r="AA73">
        <f t="shared" si="9"/>
        <v>-60</v>
      </c>
      <c r="AB73" s="8">
        <f t="shared" si="10"/>
        <v>4047.2999999999997</v>
      </c>
      <c r="AC73">
        <f t="shared" si="11"/>
        <v>18.399999999999999</v>
      </c>
      <c r="AD73" t="str">
        <f t="shared" si="12"/>
        <v>Low</v>
      </c>
      <c r="AE73" t="str">
        <f t="shared" si="13"/>
        <v>No</v>
      </c>
    </row>
    <row r="74" spans="1:31" x14ac:dyDescent="0.35">
      <c r="A74" t="s">
        <v>174</v>
      </c>
      <c r="B74" s="5">
        <v>46055</v>
      </c>
      <c r="C74" t="s">
        <v>162</v>
      </c>
      <c r="D74" t="s">
        <v>25</v>
      </c>
      <c r="E74" t="s">
        <v>89</v>
      </c>
      <c r="F74" t="s">
        <v>29</v>
      </c>
      <c r="G74" t="s">
        <v>85</v>
      </c>
      <c r="H74" t="s">
        <v>40</v>
      </c>
      <c r="I74" t="s">
        <v>42</v>
      </c>
      <c r="J74">
        <v>1101</v>
      </c>
      <c r="K74">
        <v>1090</v>
      </c>
      <c r="L74">
        <v>38</v>
      </c>
      <c r="M74">
        <v>21</v>
      </c>
      <c r="N74">
        <v>1060</v>
      </c>
      <c r="O74">
        <v>41.2</v>
      </c>
      <c r="P74">
        <v>6</v>
      </c>
      <c r="Q74" t="s">
        <v>80</v>
      </c>
      <c r="R74" t="s">
        <v>81</v>
      </c>
      <c r="S74" t="s">
        <v>82</v>
      </c>
      <c r="T74">
        <v>6</v>
      </c>
      <c r="U74">
        <v>4</v>
      </c>
      <c r="V74" s="6">
        <v>238.25</v>
      </c>
      <c r="W74" s="6">
        <v>3564.23</v>
      </c>
      <c r="X74" t="s">
        <v>87</v>
      </c>
      <c r="Y74" s="7">
        <f t="shared" si="7"/>
        <v>3.4862385321100919E-2</v>
      </c>
      <c r="Z74" s="7">
        <f t="shared" si="8"/>
        <v>0.97247706422018354</v>
      </c>
      <c r="AA74">
        <f t="shared" si="9"/>
        <v>11</v>
      </c>
      <c r="AB74" s="8">
        <f t="shared" si="10"/>
        <v>9053.5</v>
      </c>
      <c r="AC74">
        <f t="shared" si="11"/>
        <v>43.9</v>
      </c>
      <c r="AD74" t="str">
        <f t="shared" si="12"/>
        <v>Medium</v>
      </c>
      <c r="AE74" t="str">
        <f t="shared" si="13"/>
        <v>No</v>
      </c>
    </row>
    <row r="75" spans="1:31" x14ac:dyDescent="0.35">
      <c r="A75" t="s">
        <v>175</v>
      </c>
      <c r="B75" s="5">
        <v>46055</v>
      </c>
      <c r="C75" t="s">
        <v>162</v>
      </c>
      <c r="D75" t="s">
        <v>25</v>
      </c>
      <c r="E75" t="s">
        <v>89</v>
      </c>
      <c r="F75" t="s">
        <v>31</v>
      </c>
      <c r="G75" t="s">
        <v>90</v>
      </c>
      <c r="H75" t="s">
        <v>36</v>
      </c>
      <c r="I75" t="s">
        <v>47</v>
      </c>
      <c r="J75">
        <v>1283</v>
      </c>
      <c r="K75">
        <v>1191</v>
      </c>
      <c r="L75">
        <v>44</v>
      </c>
      <c r="M75">
        <v>17</v>
      </c>
      <c r="N75">
        <v>1176</v>
      </c>
      <c r="O75">
        <v>61</v>
      </c>
      <c r="P75">
        <v>17.5</v>
      </c>
      <c r="Q75" t="s">
        <v>80</v>
      </c>
      <c r="R75" t="s">
        <v>81</v>
      </c>
      <c r="S75" t="s">
        <v>82</v>
      </c>
      <c r="T75">
        <v>3</v>
      </c>
      <c r="U75">
        <v>3</v>
      </c>
      <c r="V75" s="6">
        <v>93.91</v>
      </c>
      <c r="W75" s="6">
        <v>1976.81</v>
      </c>
      <c r="X75" t="s">
        <v>91</v>
      </c>
      <c r="Y75" s="7">
        <f t="shared" si="7"/>
        <v>3.6943744752308987E-2</v>
      </c>
      <c r="Z75" s="7">
        <f t="shared" si="8"/>
        <v>0.9874055415617129</v>
      </c>
      <c r="AA75">
        <f t="shared" si="9"/>
        <v>92</v>
      </c>
      <c r="AB75" s="8">
        <f t="shared" si="10"/>
        <v>4132.04</v>
      </c>
      <c r="AC75">
        <f t="shared" si="11"/>
        <v>60.3</v>
      </c>
      <c r="AD75" t="str">
        <f t="shared" si="12"/>
        <v>Medium</v>
      </c>
      <c r="AE75" t="str">
        <f t="shared" si="13"/>
        <v>No</v>
      </c>
    </row>
    <row r="76" spans="1:31" x14ac:dyDescent="0.35">
      <c r="A76" t="s">
        <v>176</v>
      </c>
      <c r="B76" s="5">
        <v>46055</v>
      </c>
      <c r="C76" t="s">
        <v>162</v>
      </c>
      <c r="D76" t="s">
        <v>20</v>
      </c>
      <c r="E76" t="s">
        <v>78</v>
      </c>
      <c r="F76" t="s">
        <v>27</v>
      </c>
      <c r="G76" t="s">
        <v>79</v>
      </c>
      <c r="H76" t="s">
        <v>34</v>
      </c>
      <c r="I76" t="s">
        <v>44</v>
      </c>
      <c r="J76">
        <v>1015</v>
      </c>
      <c r="K76">
        <v>1065</v>
      </c>
      <c r="L76">
        <v>19</v>
      </c>
      <c r="M76">
        <v>15</v>
      </c>
      <c r="N76">
        <v>1051</v>
      </c>
      <c r="O76">
        <v>68.099999999999994</v>
      </c>
      <c r="P76">
        <v>0</v>
      </c>
      <c r="Q76" t="s">
        <v>80</v>
      </c>
      <c r="R76" t="s">
        <v>81</v>
      </c>
      <c r="S76" t="s">
        <v>82</v>
      </c>
      <c r="T76">
        <v>3</v>
      </c>
      <c r="U76">
        <v>2</v>
      </c>
      <c r="V76" s="6">
        <v>192.53</v>
      </c>
      <c r="W76" s="6">
        <v>2693.42</v>
      </c>
      <c r="X76" t="s">
        <v>94</v>
      </c>
      <c r="Y76" s="7">
        <f t="shared" si="7"/>
        <v>1.7840375586854459E-2</v>
      </c>
      <c r="Z76" s="7">
        <f t="shared" si="8"/>
        <v>0.98685446009389677</v>
      </c>
      <c r="AA76">
        <f t="shared" si="9"/>
        <v>-50</v>
      </c>
      <c r="AB76" s="8">
        <f t="shared" si="10"/>
        <v>3658.07</v>
      </c>
      <c r="AC76">
        <f t="shared" si="11"/>
        <v>18.399999999999999</v>
      </c>
      <c r="AD76" t="str">
        <f t="shared" si="12"/>
        <v>Low</v>
      </c>
      <c r="AE76" t="str">
        <f t="shared" si="13"/>
        <v>No</v>
      </c>
    </row>
    <row r="77" spans="1:31" x14ac:dyDescent="0.35">
      <c r="A77" t="s">
        <v>177</v>
      </c>
      <c r="B77" s="5">
        <v>46062</v>
      </c>
      <c r="C77" t="s">
        <v>162</v>
      </c>
      <c r="D77" t="s">
        <v>25</v>
      </c>
      <c r="E77" t="s">
        <v>89</v>
      </c>
      <c r="F77" t="s">
        <v>27</v>
      </c>
      <c r="G77" t="s">
        <v>90</v>
      </c>
      <c r="H77" t="s">
        <v>37</v>
      </c>
      <c r="I77" t="s">
        <v>45</v>
      </c>
      <c r="J77">
        <v>1000</v>
      </c>
      <c r="K77">
        <v>990</v>
      </c>
      <c r="L77">
        <v>20</v>
      </c>
      <c r="M77">
        <v>9</v>
      </c>
      <c r="N77">
        <v>880</v>
      </c>
      <c r="O77">
        <v>60.9</v>
      </c>
      <c r="P77">
        <v>6.3</v>
      </c>
      <c r="Q77" t="s">
        <v>80</v>
      </c>
      <c r="R77" t="s">
        <v>81</v>
      </c>
      <c r="S77" t="s">
        <v>82</v>
      </c>
      <c r="T77">
        <v>0</v>
      </c>
      <c r="U77">
        <v>0</v>
      </c>
      <c r="V77" s="6">
        <v>343.49</v>
      </c>
      <c r="W77" s="6">
        <v>3449.29</v>
      </c>
      <c r="X77" t="s">
        <v>121</v>
      </c>
      <c r="Y77" s="7">
        <f t="shared" si="7"/>
        <v>2.0202020202020204E-2</v>
      </c>
      <c r="Z77" s="7">
        <f t="shared" si="8"/>
        <v>0.88888888888888884</v>
      </c>
      <c r="AA77">
        <f t="shared" si="9"/>
        <v>10</v>
      </c>
      <c r="AB77" s="8">
        <f t="shared" si="10"/>
        <v>6869.8</v>
      </c>
      <c r="AC77">
        <f t="shared" si="11"/>
        <v>33.4</v>
      </c>
      <c r="AD77" t="str">
        <f t="shared" si="12"/>
        <v>Low</v>
      </c>
      <c r="AE77" t="str">
        <f t="shared" si="13"/>
        <v>No</v>
      </c>
    </row>
    <row r="78" spans="1:31" x14ac:dyDescent="0.35">
      <c r="A78" t="s">
        <v>178</v>
      </c>
      <c r="B78" s="5">
        <v>46062</v>
      </c>
      <c r="C78" t="s">
        <v>162</v>
      </c>
      <c r="D78" t="s">
        <v>24</v>
      </c>
      <c r="E78" t="s">
        <v>78</v>
      </c>
      <c r="F78" t="s">
        <v>27</v>
      </c>
      <c r="G78" t="s">
        <v>79</v>
      </c>
      <c r="H78" t="s">
        <v>34</v>
      </c>
      <c r="I78" t="s">
        <v>42</v>
      </c>
      <c r="J78">
        <v>804</v>
      </c>
      <c r="K78">
        <v>888</v>
      </c>
      <c r="L78">
        <v>19</v>
      </c>
      <c r="M78">
        <v>13</v>
      </c>
      <c r="N78">
        <v>789</v>
      </c>
      <c r="O78">
        <v>63.1</v>
      </c>
      <c r="P78">
        <v>10.6</v>
      </c>
      <c r="Q78" t="s">
        <v>86</v>
      </c>
      <c r="R78" t="s">
        <v>81</v>
      </c>
      <c r="S78" t="s">
        <v>82</v>
      </c>
      <c r="T78">
        <v>2</v>
      </c>
      <c r="U78">
        <v>0</v>
      </c>
      <c r="V78" s="6">
        <v>70.63</v>
      </c>
      <c r="W78" s="6">
        <v>1049.8499999999999</v>
      </c>
      <c r="X78" t="s">
        <v>94</v>
      </c>
      <c r="Y78" s="7">
        <f t="shared" si="7"/>
        <v>2.1396396396396396E-2</v>
      </c>
      <c r="Z78" s="7">
        <f t="shared" si="8"/>
        <v>0.88851351351351349</v>
      </c>
      <c r="AA78">
        <f t="shared" si="9"/>
        <v>-84</v>
      </c>
      <c r="AB78" s="8">
        <f t="shared" si="10"/>
        <v>1341.9699999999998</v>
      </c>
      <c r="AC78">
        <f t="shared" si="11"/>
        <v>58.2</v>
      </c>
      <c r="AD78" t="str">
        <f t="shared" si="12"/>
        <v>Medium</v>
      </c>
      <c r="AE78" t="str">
        <f t="shared" si="13"/>
        <v>Yes</v>
      </c>
    </row>
    <row r="79" spans="1:31" x14ac:dyDescent="0.35">
      <c r="A79" t="s">
        <v>179</v>
      </c>
      <c r="B79" s="5">
        <v>46062</v>
      </c>
      <c r="C79" t="s">
        <v>162</v>
      </c>
      <c r="D79" t="s">
        <v>24</v>
      </c>
      <c r="E79" t="s">
        <v>78</v>
      </c>
      <c r="F79" t="s">
        <v>31</v>
      </c>
      <c r="G79" t="s">
        <v>79</v>
      </c>
      <c r="H79" t="s">
        <v>37</v>
      </c>
      <c r="I79" t="s">
        <v>45</v>
      </c>
      <c r="J79">
        <v>1183</v>
      </c>
      <c r="K79">
        <v>1218</v>
      </c>
      <c r="L79">
        <v>42</v>
      </c>
      <c r="M79">
        <v>23</v>
      </c>
      <c r="N79">
        <v>1147</v>
      </c>
      <c r="O79">
        <v>52.8</v>
      </c>
      <c r="P79">
        <v>16.8</v>
      </c>
      <c r="Q79" t="s">
        <v>80</v>
      </c>
      <c r="R79" t="s">
        <v>81</v>
      </c>
      <c r="S79" t="s">
        <v>82</v>
      </c>
      <c r="T79">
        <v>7</v>
      </c>
      <c r="U79">
        <v>5</v>
      </c>
      <c r="V79" s="6">
        <v>356.95</v>
      </c>
      <c r="W79" s="6">
        <v>9372.83</v>
      </c>
      <c r="X79" t="s">
        <v>94</v>
      </c>
      <c r="Y79" s="7">
        <f t="shared" si="7"/>
        <v>3.4482758620689655E-2</v>
      </c>
      <c r="Z79" s="7">
        <f t="shared" si="8"/>
        <v>0.94170771756978655</v>
      </c>
      <c r="AA79">
        <f t="shared" si="9"/>
        <v>-35</v>
      </c>
      <c r="AB79" s="8">
        <f t="shared" si="10"/>
        <v>14991.9</v>
      </c>
      <c r="AC79">
        <f t="shared" si="11"/>
        <v>58.9</v>
      </c>
      <c r="AD79" t="str">
        <f t="shared" si="12"/>
        <v>Medium</v>
      </c>
      <c r="AE79" t="str">
        <f t="shared" si="13"/>
        <v>No</v>
      </c>
    </row>
    <row r="80" spans="1:31" x14ac:dyDescent="0.35">
      <c r="A80" t="s">
        <v>180</v>
      </c>
      <c r="B80" s="5">
        <v>46062</v>
      </c>
      <c r="C80" t="s">
        <v>162</v>
      </c>
      <c r="D80" t="s">
        <v>22</v>
      </c>
      <c r="E80" t="s">
        <v>93</v>
      </c>
      <c r="F80" t="s">
        <v>29</v>
      </c>
      <c r="G80" t="s">
        <v>85</v>
      </c>
      <c r="H80" t="s">
        <v>40</v>
      </c>
      <c r="I80" t="s">
        <v>44</v>
      </c>
      <c r="J80">
        <v>1392</v>
      </c>
      <c r="K80">
        <v>1271</v>
      </c>
      <c r="L80">
        <v>21</v>
      </c>
      <c r="M80">
        <v>11</v>
      </c>
      <c r="N80">
        <v>1161</v>
      </c>
      <c r="O80">
        <v>61</v>
      </c>
      <c r="P80">
        <v>1.9</v>
      </c>
      <c r="Q80" t="s">
        <v>96</v>
      </c>
      <c r="R80" t="s">
        <v>81</v>
      </c>
      <c r="S80" t="s">
        <v>82</v>
      </c>
      <c r="T80">
        <v>3</v>
      </c>
      <c r="U80">
        <v>3</v>
      </c>
      <c r="V80" s="6">
        <v>272.24</v>
      </c>
      <c r="W80" s="6">
        <v>2071.4499999999998</v>
      </c>
      <c r="X80" t="s">
        <v>94</v>
      </c>
      <c r="Y80" s="7">
        <f t="shared" si="7"/>
        <v>1.6522423288749016E-2</v>
      </c>
      <c r="Z80" s="7">
        <f t="shared" si="8"/>
        <v>0.91345397324940991</v>
      </c>
      <c r="AA80">
        <f t="shared" si="9"/>
        <v>121</v>
      </c>
      <c r="AB80" s="8">
        <f t="shared" si="10"/>
        <v>5717.04</v>
      </c>
      <c r="AC80">
        <f t="shared" si="11"/>
        <v>32.9</v>
      </c>
      <c r="AD80" t="str">
        <f t="shared" si="12"/>
        <v>Low</v>
      </c>
      <c r="AE80" t="str">
        <f t="shared" si="13"/>
        <v>No</v>
      </c>
    </row>
    <row r="81" spans="1:31" x14ac:dyDescent="0.35">
      <c r="A81" t="s">
        <v>181</v>
      </c>
      <c r="B81" s="5">
        <v>46062</v>
      </c>
      <c r="C81" t="s">
        <v>162</v>
      </c>
      <c r="D81" t="s">
        <v>20</v>
      </c>
      <c r="E81" t="s">
        <v>78</v>
      </c>
      <c r="F81" t="s">
        <v>27</v>
      </c>
      <c r="G81" t="s">
        <v>79</v>
      </c>
      <c r="H81" t="s">
        <v>38</v>
      </c>
      <c r="I81" t="s">
        <v>45</v>
      </c>
      <c r="J81">
        <v>1380</v>
      </c>
      <c r="K81">
        <v>1342</v>
      </c>
      <c r="L81">
        <v>40</v>
      </c>
      <c r="M81">
        <v>15</v>
      </c>
      <c r="N81">
        <v>1247</v>
      </c>
      <c r="O81">
        <v>46.6</v>
      </c>
      <c r="P81">
        <v>10.7</v>
      </c>
      <c r="Q81" t="s">
        <v>80</v>
      </c>
      <c r="R81" t="s">
        <v>81</v>
      </c>
      <c r="S81" t="s">
        <v>82</v>
      </c>
      <c r="T81">
        <v>9</v>
      </c>
      <c r="U81">
        <v>3</v>
      </c>
      <c r="V81" s="6">
        <v>322.86</v>
      </c>
      <c r="W81" s="6">
        <v>4276.87</v>
      </c>
      <c r="X81" t="s">
        <v>121</v>
      </c>
      <c r="Y81" s="7">
        <f t="shared" si="7"/>
        <v>2.9806259314456036E-2</v>
      </c>
      <c r="Z81" s="7">
        <f t="shared" si="8"/>
        <v>0.92921013412816689</v>
      </c>
      <c r="AA81">
        <f t="shared" si="9"/>
        <v>38</v>
      </c>
      <c r="AB81" s="8">
        <f t="shared" si="10"/>
        <v>12914.400000000001</v>
      </c>
      <c r="AC81">
        <f t="shared" si="11"/>
        <v>46.9</v>
      </c>
      <c r="AD81" t="str">
        <f t="shared" si="12"/>
        <v>Medium</v>
      </c>
      <c r="AE81" t="str">
        <f t="shared" si="13"/>
        <v>No</v>
      </c>
    </row>
    <row r="82" spans="1:31" x14ac:dyDescent="0.35">
      <c r="A82" t="s">
        <v>182</v>
      </c>
      <c r="B82" s="5">
        <v>46062</v>
      </c>
      <c r="C82" t="s">
        <v>162</v>
      </c>
      <c r="D82" t="s">
        <v>22</v>
      </c>
      <c r="E82" t="s">
        <v>93</v>
      </c>
      <c r="F82" t="s">
        <v>29</v>
      </c>
      <c r="G82" t="s">
        <v>85</v>
      </c>
      <c r="H82" t="s">
        <v>34</v>
      </c>
      <c r="I82" t="s">
        <v>48</v>
      </c>
      <c r="J82">
        <v>845</v>
      </c>
      <c r="K82">
        <v>853</v>
      </c>
      <c r="L82">
        <v>34</v>
      </c>
      <c r="M82">
        <v>19</v>
      </c>
      <c r="N82">
        <v>753</v>
      </c>
      <c r="O82">
        <v>42</v>
      </c>
      <c r="P82">
        <v>3.2</v>
      </c>
      <c r="Q82" t="s">
        <v>86</v>
      </c>
      <c r="R82" t="s">
        <v>81</v>
      </c>
      <c r="S82" t="s">
        <v>100</v>
      </c>
      <c r="T82">
        <v>4</v>
      </c>
      <c r="U82">
        <v>4</v>
      </c>
      <c r="V82" s="6">
        <v>95.5</v>
      </c>
      <c r="W82" s="6">
        <v>2487.7399999999998</v>
      </c>
      <c r="X82" t="s">
        <v>94</v>
      </c>
      <c r="Y82" s="7">
        <f t="shared" si="7"/>
        <v>3.9859320046893319E-2</v>
      </c>
      <c r="Z82" s="7">
        <f t="shared" si="8"/>
        <v>0.88276670574443139</v>
      </c>
      <c r="AA82">
        <f t="shared" si="9"/>
        <v>-8</v>
      </c>
      <c r="AB82" s="8">
        <f t="shared" si="10"/>
        <v>3247</v>
      </c>
      <c r="AC82">
        <f t="shared" si="11"/>
        <v>67.3</v>
      </c>
      <c r="AD82" t="str">
        <f t="shared" si="12"/>
        <v>High</v>
      </c>
      <c r="AE82" t="str">
        <f t="shared" si="13"/>
        <v>Yes</v>
      </c>
    </row>
    <row r="83" spans="1:31" x14ac:dyDescent="0.35">
      <c r="A83" t="s">
        <v>183</v>
      </c>
      <c r="B83" s="5">
        <v>46062</v>
      </c>
      <c r="C83" t="s">
        <v>162</v>
      </c>
      <c r="D83" t="s">
        <v>20</v>
      </c>
      <c r="E83" t="s">
        <v>78</v>
      </c>
      <c r="F83" t="s">
        <v>31</v>
      </c>
      <c r="G83" t="s">
        <v>79</v>
      </c>
      <c r="H83" t="s">
        <v>36</v>
      </c>
      <c r="I83" t="s">
        <v>48</v>
      </c>
      <c r="J83">
        <v>1145</v>
      </c>
      <c r="K83">
        <v>1233</v>
      </c>
      <c r="L83">
        <v>21</v>
      </c>
      <c r="M83">
        <v>16</v>
      </c>
      <c r="N83">
        <v>1153</v>
      </c>
      <c r="O83">
        <v>52.9</v>
      </c>
      <c r="P83">
        <v>12.1</v>
      </c>
      <c r="Q83" t="s">
        <v>86</v>
      </c>
      <c r="R83" t="s">
        <v>81</v>
      </c>
      <c r="S83" t="s">
        <v>82</v>
      </c>
      <c r="T83">
        <v>5</v>
      </c>
      <c r="U83">
        <v>0</v>
      </c>
      <c r="V83" s="6">
        <v>431.06</v>
      </c>
      <c r="W83" s="6">
        <v>6827.11</v>
      </c>
      <c r="X83" t="s">
        <v>83</v>
      </c>
      <c r="Y83" s="7">
        <f t="shared" si="7"/>
        <v>1.7031630170316302E-2</v>
      </c>
      <c r="Z83" s="7">
        <f t="shared" si="8"/>
        <v>0.935117599351176</v>
      </c>
      <c r="AA83">
        <f t="shared" si="9"/>
        <v>-88</v>
      </c>
      <c r="AB83" s="8">
        <f t="shared" si="10"/>
        <v>9052.26</v>
      </c>
      <c r="AC83">
        <f t="shared" si="11"/>
        <v>53.7</v>
      </c>
      <c r="AD83" t="str">
        <f t="shared" si="12"/>
        <v>Medium</v>
      </c>
      <c r="AE83" t="str">
        <f t="shared" si="13"/>
        <v>Yes</v>
      </c>
    </row>
    <row r="84" spans="1:31" x14ac:dyDescent="0.35">
      <c r="A84" t="s">
        <v>184</v>
      </c>
      <c r="B84" s="5">
        <v>46062</v>
      </c>
      <c r="C84" t="s">
        <v>162</v>
      </c>
      <c r="D84" t="s">
        <v>24</v>
      </c>
      <c r="E84" t="s">
        <v>78</v>
      </c>
      <c r="F84" t="s">
        <v>31</v>
      </c>
      <c r="G84" t="s">
        <v>79</v>
      </c>
      <c r="H84" t="s">
        <v>36</v>
      </c>
      <c r="I84" t="s">
        <v>46</v>
      </c>
      <c r="J84">
        <v>834</v>
      </c>
      <c r="K84">
        <v>922</v>
      </c>
      <c r="L84">
        <v>22</v>
      </c>
      <c r="M84">
        <v>10</v>
      </c>
      <c r="N84">
        <v>861</v>
      </c>
      <c r="O84">
        <v>72.2</v>
      </c>
      <c r="P84">
        <v>8.8000000000000007</v>
      </c>
      <c r="Q84" t="s">
        <v>80</v>
      </c>
      <c r="R84" t="s">
        <v>81</v>
      </c>
      <c r="S84" t="s">
        <v>82</v>
      </c>
      <c r="T84">
        <v>0</v>
      </c>
      <c r="U84">
        <v>5</v>
      </c>
      <c r="V84" s="6">
        <v>32.56</v>
      </c>
      <c r="W84" s="6">
        <v>407.23</v>
      </c>
      <c r="X84" t="s">
        <v>121</v>
      </c>
      <c r="Y84" s="7">
        <f t="shared" si="7"/>
        <v>2.3861171366594359E-2</v>
      </c>
      <c r="Z84" s="7">
        <f t="shared" si="8"/>
        <v>0.93383947939262468</v>
      </c>
      <c r="AA84">
        <f t="shared" si="9"/>
        <v>-88</v>
      </c>
      <c r="AB84" s="8">
        <f t="shared" si="10"/>
        <v>716.32</v>
      </c>
      <c r="AC84">
        <f t="shared" si="11"/>
        <v>38.299999999999997</v>
      </c>
      <c r="AD84" t="str">
        <f t="shared" si="12"/>
        <v>Low</v>
      </c>
      <c r="AE84" t="str">
        <f t="shared" si="13"/>
        <v>No</v>
      </c>
    </row>
    <row r="85" spans="1:31" x14ac:dyDescent="0.35">
      <c r="A85" t="s">
        <v>185</v>
      </c>
      <c r="B85" s="5">
        <v>46062</v>
      </c>
      <c r="C85" t="s">
        <v>162</v>
      </c>
      <c r="D85" t="s">
        <v>20</v>
      </c>
      <c r="E85" t="s">
        <v>78</v>
      </c>
      <c r="F85" t="s">
        <v>27</v>
      </c>
      <c r="G85" t="s">
        <v>79</v>
      </c>
      <c r="H85" t="s">
        <v>36</v>
      </c>
      <c r="I85" t="s">
        <v>47</v>
      </c>
      <c r="J85">
        <v>852</v>
      </c>
      <c r="K85">
        <v>836</v>
      </c>
      <c r="L85">
        <v>21</v>
      </c>
      <c r="M85">
        <v>15</v>
      </c>
      <c r="N85">
        <v>767</v>
      </c>
      <c r="O85">
        <v>57.8</v>
      </c>
      <c r="P85">
        <v>19.100000000000001</v>
      </c>
      <c r="Q85" t="s">
        <v>80</v>
      </c>
      <c r="R85" t="s">
        <v>81</v>
      </c>
      <c r="S85" t="s">
        <v>82</v>
      </c>
      <c r="T85">
        <v>4</v>
      </c>
      <c r="U85">
        <v>1</v>
      </c>
      <c r="V85" s="6">
        <v>46.73</v>
      </c>
      <c r="W85" s="6">
        <v>440.98</v>
      </c>
      <c r="X85" t="s">
        <v>94</v>
      </c>
      <c r="Y85" s="7">
        <f t="shared" si="7"/>
        <v>2.5119617224880382E-2</v>
      </c>
      <c r="Z85" s="7">
        <f t="shared" si="8"/>
        <v>0.91746411483253587</v>
      </c>
      <c r="AA85">
        <f t="shared" si="9"/>
        <v>16</v>
      </c>
      <c r="AB85" s="8">
        <f t="shared" si="10"/>
        <v>981.32999999999993</v>
      </c>
      <c r="AC85">
        <f t="shared" si="11"/>
        <v>53.7</v>
      </c>
      <c r="AD85" t="str">
        <f t="shared" si="12"/>
        <v>Medium</v>
      </c>
      <c r="AE85" t="str">
        <f t="shared" si="13"/>
        <v>No</v>
      </c>
    </row>
    <row r="86" spans="1:31" x14ac:dyDescent="0.35">
      <c r="A86" t="s">
        <v>186</v>
      </c>
      <c r="B86" s="5">
        <v>46062</v>
      </c>
      <c r="C86" t="s">
        <v>162</v>
      </c>
      <c r="D86" t="s">
        <v>25</v>
      </c>
      <c r="E86" t="s">
        <v>89</v>
      </c>
      <c r="F86" t="s">
        <v>27</v>
      </c>
      <c r="G86" t="s">
        <v>79</v>
      </c>
      <c r="H86" t="s">
        <v>36</v>
      </c>
      <c r="I86" t="s">
        <v>44</v>
      </c>
      <c r="J86">
        <v>1493</v>
      </c>
      <c r="K86">
        <v>1572</v>
      </c>
      <c r="L86">
        <v>15</v>
      </c>
      <c r="M86">
        <v>11</v>
      </c>
      <c r="N86">
        <v>1385</v>
      </c>
      <c r="O86">
        <v>60.8</v>
      </c>
      <c r="P86">
        <v>11.7</v>
      </c>
      <c r="Q86" t="s">
        <v>80</v>
      </c>
      <c r="R86" t="s">
        <v>81</v>
      </c>
      <c r="S86" t="s">
        <v>82</v>
      </c>
      <c r="T86">
        <v>5</v>
      </c>
      <c r="U86">
        <v>2</v>
      </c>
      <c r="V86" s="6">
        <v>189.89</v>
      </c>
      <c r="W86" s="6">
        <v>1999.96</v>
      </c>
      <c r="X86" t="s">
        <v>91</v>
      </c>
      <c r="Y86" s="7">
        <f t="shared" si="7"/>
        <v>9.5419847328244278E-3</v>
      </c>
      <c r="Z86" s="7">
        <f t="shared" si="8"/>
        <v>0.88104325699745545</v>
      </c>
      <c r="AA86">
        <f t="shared" si="9"/>
        <v>-79</v>
      </c>
      <c r="AB86" s="8">
        <f t="shared" si="10"/>
        <v>2848.35</v>
      </c>
      <c r="AC86">
        <f t="shared" si="11"/>
        <v>30.1</v>
      </c>
      <c r="AD86" t="str">
        <f t="shared" si="12"/>
        <v>Low</v>
      </c>
      <c r="AE86" t="str">
        <f t="shared" si="13"/>
        <v>No</v>
      </c>
    </row>
    <row r="87" spans="1:31" x14ac:dyDescent="0.35">
      <c r="A87" t="s">
        <v>187</v>
      </c>
      <c r="B87" s="5">
        <v>46062</v>
      </c>
      <c r="C87" t="s">
        <v>162</v>
      </c>
      <c r="D87" t="s">
        <v>22</v>
      </c>
      <c r="E87" t="s">
        <v>93</v>
      </c>
      <c r="F87" t="s">
        <v>30</v>
      </c>
      <c r="G87" t="s">
        <v>79</v>
      </c>
      <c r="H87" t="s">
        <v>40</v>
      </c>
      <c r="I87" t="s">
        <v>47</v>
      </c>
      <c r="J87">
        <v>1359</v>
      </c>
      <c r="K87">
        <v>1364</v>
      </c>
      <c r="L87">
        <v>16</v>
      </c>
      <c r="M87">
        <v>7</v>
      </c>
      <c r="N87">
        <v>1241</v>
      </c>
      <c r="O87">
        <v>70.099999999999994</v>
      </c>
      <c r="P87">
        <v>15.6</v>
      </c>
      <c r="Q87" t="s">
        <v>80</v>
      </c>
      <c r="R87" t="s">
        <v>81</v>
      </c>
      <c r="S87" t="s">
        <v>82</v>
      </c>
      <c r="T87">
        <v>6</v>
      </c>
      <c r="U87">
        <v>0</v>
      </c>
      <c r="V87" s="6">
        <v>174.12</v>
      </c>
      <c r="W87" s="6">
        <v>1672.42</v>
      </c>
      <c r="X87" t="s">
        <v>87</v>
      </c>
      <c r="Y87" s="7">
        <f t="shared" si="7"/>
        <v>1.1730205278592375E-2</v>
      </c>
      <c r="Z87" s="7">
        <f t="shared" si="8"/>
        <v>0.90982404692082108</v>
      </c>
      <c r="AA87">
        <f t="shared" si="9"/>
        <v>-5</v>
      </c>
      <c r="AB87" s="8">
        <f t="shared" si="10"/>
        <v>2785.92</v>
      </c>
      <c r="AC87">
        <f t="shared" si="11"/>
        <v>36.1</v>
      </c>
      <c r="AD87" t="str">
        <f t="shared" si="12"/>
        <v>Low</v>
      </c>
      <c r="AE87" t="str">
        <f t="shared" si="13"/>
        <v>No</v>
      </c>
    </row>
    <row r="88" spans="1:31" x14ac:dyDescent="0.35">
      <c r="A88" t="s">
        <v>188</v>
      </c>
      <c r="B88" s="5">
        <v>46062</v>
      </c>
      <c r="C88" t="s">
        <v>162</v>
      </c>
      <c r="D88" t="s">
        <v>24</v>
      </c>
      <c r="E88" t="s">
        <v>78</v>
      </c>
      <c r="F88" t="s">
        <v>30</v>
      </c>
      <c r="G88" t="s">
        <v>90</v>
      </c>
      <c r="H88" t="s">
        <v>40</v>
      </c>
      <c r="I88" t="s">
        <v>42</v>
      </c>
      <c r="J88">
        <v>1503</v>
      </c>
      <c r="K88">
        <v>1570</v>
      </c>
      <c r="L88">
        <v>39</v>
      </c>
      <c r="M88">
        <v>15</v>
      </c>
      <c r="N88">
        <v>1496</v>
      </c>
      <c r="O88">
        <v>71.2</v>
      </c>
      <c r="P88">
        <v>9.8000000000000007</v>
      </c>
      <c r="Q88" t="s">
        <v>96</v>
      </c>
      <c r="R88" t="s">
        <v>81</v>
      </c>
      <c r="S88" t="s">
        <v>82</v>
      </c>
      <c r="T88">
        <v>9</v>
      </c>
      <c r="U88">
        <v>1</v>
      </c>
      <c r="V88" s="6">
        <v>239.02</v>
      </c>
      <c r="W88" s="6">
        <v>4457.54</v>
      </c>
      <c r="X88" t="s">
        <v>94</v>
      </c>
      <c r="Y88" s="7">
        <f t="shared" si="7"/>
        <v>2.4840764331210193E-2</v>
      </c>
      <c r="Z88" s="7">
        <f t="shared" si="8"/>
        <v>0.95286624203821657</v>
      </c>
      <c r="AA88">
        <f t="shared" si="9"/>
        <v>-67</v>
      </c>
      <c r="AB88" s="8">
        <f t="shared" si="10"/>
        <v>9321.7800000000007</v>
      </c>
      <c r="AC88">
        <f t="shared" si="11"/>
        <v>49.7</v>
      </c>
      <c r="AD88" t="str">
        <f t="shared" si="12"/>
        <v>Medium</v>
      </c>
      <c r="AE88" t="str">
        <f t="shared" si="13"/>
        <v>No</v>
      </c>
    </row>
    <row r="89" spans="1:31" x14ac:dyDescent="0.35">
      <c r="A89" t="s">
        <v>189</v>
      </c>
      <c r="B89" s="5">
        <v>46062</v>
      </c>
      <c r="C89" t="s">
        <v>162</v>
      </c>
      <c r="D89" t="s">
        <v>24</v>
      </c>
      <c r="E89" t="s">
        <v>78</v>
      </c>
      <c r="F89" t="s">
        <v>29</v>
      </c>
      <c r="G89" t="s">
        <v>85</v>
      </c>
      <c r="H89" t="s">
        <v>190</v>
      </c>
      <c r="I89" t="s">
        <v>46</v>
      </c>
      <c r="J89">
        <v>1161</v>
      </c>
      <c r="K89">
        <v>1214</v>
      </c>
      <c r="L89">
        <v>32</v>
      </c>
      <c r="M89">
        <v>25</v>
      </c>
      <c r="N89">
        <v>1190</v>
      </c>
      <c r="O89">
        <v>51.3</v>
      </c>
      <c r="P89">
        <v>3</v>
      </c>
      <c r="Q89" t="s">
        <v>80</v>
      </c>
      <c r="R89" t="s">
        <v>81</v>
      </c>
      <c r="S89" t="s">
        <v>82</v>
      </c>
      <c r="T89">
        <v>6</v>
      </c>
      <c r="U89">
        <v>0</v>
      </c>
      <c r="V89" s="6">
        <v>327.64999999999998</v>
      </c>
      <c r="W89" s="6">
        <v>4025.59</v>
      </c>
      <c r="X89" t="s">
        <v>94</v>
      </c>
      <c r="Y89" s="7">
        <f t="shared" si="7"/>
        <v>2.6359143327841845E-2</v>
      </c>
      <c r="Z89" s="7">
        <f t="shared" si="8"/>
        <v>0.98023064250411862</v>
      </c>
      <c r="AA89">
        <f t="shared" si="9"/>
        <v>-53</v>
      </c>
      <c r="AB89" s="8">
        <f t="shared" si="10"/>
        <v>10484.799999999999</v>
      </c>
      <c r="AC89">
        <f t="shared" si="11"/>
        <v>31.1</v>
      </c>
      <c r="AD89" t="str">
        <f t="shared" si="12"/>
        <v>Low</v>
      </c>
      <c r="AE89" t="str">
        <f t="shared" si="13"/>
        <v>No</v>
      </c>
    </row>
    <row r="90" spans="1:31" x14ac:dyDescent="0.35">
      <c r="A90" t="s">
        <v>191</v>
      </c>
      <c r="B90" s="5">
        <v>46062</v>
      </c>
      <c r="C90" t="s">
        <v>162</v>
      </c>
      <c r="D90" t="s">
        <v>25</v>
      </c>
      <c r="E90" t="s">
        <v>89</v>
      </c>
      <c r="F90" t="s">
        <v>30</v>
      </c>
      <c r="G90" t="s">
        <v>79</v>
      </c>
      <c r="H90" t="s">
        <v>38</v>
      </c>
      <c r="I90" t="s">
        <v>48</v>
      </c>
      <c r="J90">
        <v>1043</v>
      </c>
      <c r="K90">
        <v>981</v>
      </c>
      <c r="L90">
        <v>34</v>
      </c>
      <c r="M90">
        <v>27</v>
      </c>
      <c r="N90">
        <v>897</v>
      </c>
      <c r="O90">
        <v>71.7</v>
      </c>
      <c r="P90">
        <v>0</v>
      </c>
      <c r="Q90" t="s">
        <v>80</v>
      </c>
      <c r="R90" t="s">
        <v>81</v>
      </c>
      <c r="S90" t="s">
        <v>100</v>
      </c>
      <c r="T90">
        <v>0</v>
      </c>
      <c r="U90">
        <v>4</v>
      </c>
      <c r="V90" s="6">
        <v>427.65</v>
      </c>
      <c r="W90" s="6">
        <v>8175.66</v>
      </c>
      <c r="X90" t="s">
        <v>94</v>
      </c>
      <c r="Y90" s="7">
        <f t="shared" si="7"/>
        <v>3.4658511722731905E-2</v>
      </c>
      <c r="Z90" s="7">
        <f t="shared" si="8"/>
        <v>0.91437308868501532</v>
      </c>
      <c r="AA90">
        <f t="shared" si="9"/>
        <v>62</v>
      </c>
      <c r="AB90" s="8">
        <f t="shared" si="10"/>
        <v>14540.099999999999</v>
      </c>
      <c r="AC90">
        <f t="shared" si="11"/>
        <v>38.5</v>
      </c>
      <c r="AD90" t="str">
        <f t="shared" si="12"/>
        <v>Low</v>
      </c>
      <c r="AE90" t="str">
        <f t="shared" si="13"/>
        <v>No</v>
      </c>
    </row>
    <row r="91" spans="1:31" x14ac:dyDescent="0.35">
      <c r="A91" t="s">
        <v>192</v>
      </c>
      <c r="B91" s="5">
        <v>46062</v>
      </c>
      <c r="C91" t="s">
        <v>162</v>
      </c>
      <c r="D91" t="s">
        <v>24</v>
      </c>
      <c r="E91" t="s">
        <v>78</v>
      </c>
      <c r="F91" t="s">
        <v>29</v>
      </c>
      <c r="G91" t="s">
        <v>85</v>
      </c>
      <c r="H91" t="s">
        <v>36</v>
      </c>
      <c r="I91" t="s">
        <v>42</v>
      </c>
      <c r="J91">
        <v>902</v>
      </c>
      <c r="K91">
        <v>908</v>
      </c>
      <c r="L91">
        <v>15</v>
      </c>
      <c r="M91">
        <v>11</v>
      </c>
      <c r="N91">
        <v>837</v>
      </c>
      <c r="O91">
        <v>47.4</v>
      </c>
      <c r="P91">
        <v>6</v>
      </c>
      <c r="Q91" t="s">
        <v>80</v>
      </c>
      <c r="R91" t="s">
        <v>81</v>
      </c>
      <c r="S91" t="s">
        <v>82</v>
      </c>
      <c r="T91">
        <v>3</v>
      </c>
      <c r="U91">
        <v>0</v>
      </c>
      <c r="V91" s="6">
        <v>230.72</v>
      </c>
      <c r="W91" s="6">
        <v>1419.56</v>
      </c>
      <c r="X91" t="s">
        <v>94</v>
      </c>
      <c r="Y91" s="7">
        <f t="shared" si="7"/>
        <v>1.6519823788546256E-2</v>
      </c>
      <c r="Z91" s="7">
        <f t="shared" si="8"/>
        <v>0.92180616740088106</v>
      </c>
      <c r="AA91">
        <f t="shared" si="9"/>
        <v>-6</v>
      </c>
      <c r="AB91" s="8">
        <f t="shared" si="10"/>
        <v>3460.8</v>
      </c>
      <c r="AC91">
        <f t="shared" si="11"/>
        <v>27.8</v>
      </c>
      <c r="AD91" t="str">
        <f t="shared" si="12"/>
        <v>Low</v>
      </c>
      <c r="AE91" t="str">
        <f t="shared" si="13"/>
        <v>No</v>
      </c>
    </row>
    <row r="92" spans="1:31" x14ac:dyDescent="0.35">
      <c r="A92" t="s">
        <v>193</v>
      </c>
      <c r="B92" s="5">
        <v>46069</v>
      </c>
      <c r="C92" t="s">
        <v>162</v>
      </c>
      <c r="D92" t="s">
        <v>22</v>
      </c>
      <c r="E92" t="s">
        <v>93</v>
      </c>
      <c r="F92" t="s">
        <v>32</v>
      </c>
      <c r="G92" t="s">
        <v>85</v>
      </c>
      <c r="H92" t="s">
        <v>39</v>
      </c>
      <c r="I92" t="s">
        <v>46</v>
      </c>
      <c r="J92">
        <v>1431</v>
      </c>
      <c r="K92">
        <v>1399</v>
      </c>
      <c r="L92">
        <v>29</v>
      </c>
      <c r="M92">
        <v>20</v>
      </c>
      <c r="N92">
        <v>1330</v>
      </c>
      <c r="O92">
        <v>47.9</v>
      </c>
      <c r="P92">
        <v>0</v>
      </c>
      <c r="Q92" t="s">
        <v>80</v>
      </c>
      <c r="R92" t="s">
        <v>81</v>
      </c>
      <c r="S92" t="s">
        <v>82</v>
      </c>
      <c r="T92">
        <v>0</v>
      </c>
      <c r="U92">
        <v>2</v>
      </c>
      <c r="V92" s="6">
        <v>42.54</v>
      </c>
      <c r="W92" s="6">
        <v>343.03</v>
      </c>
      <c r="X92" t="s">
        <v>87</v>
      </c>
      <c r="Y92" s="7">
        <f t="shared" si="7"/>
        <v>2.0729092208720514E-2</v>
      </c>
      <c r="Z92" s="7">
        <f t="shared" si="8"/>
        <v>0.95067905646890638</v>
      </c>
      <c r="AA92">
        <f t="shared" si="9"/>
        <v>32</v>
      </c>
      <c r="AB92" s="8">
        <f t="shared" si="10"/>
        <v>1233.6600000000001</v>
      </c>
      <c r="AC92">
        <f t="shared" si="11"/>
        <v>22.9</v>
      </c>
      <c r="AD92" t="str">
        <f t="shared" si="12"/>
        <v>Low</v>
      </c>
      <c r="AE92" t="str">
        <f t="shared" si="13"/>
        <v>No</v>
      </c>
    </row>
    <row r="93" spans="1:31" x14ac:dyDescent="0.35">
      <c r="A93" t="s">
        <v>194</v>
      </c>
      <c r="B93" s="5">
        <v>46069</v>
      </c>
      <c r="C93" t="s">
        <v>162</v>
      </c>
      <c r="D93" t="s">
        <v>23</v>
      </c>
      <c r="E93" t="s">
        <v>78</v>
      </c>
      <c r="F93" t="s">
        <v>32</v>
      </c>
      <c r="G93" t="s">
        <v>79</v>
      </c>
      <c r="H93" t="s">
        <v>37</v>
      </c>
      <c r="I93" t="s">
        <v>44</v>
      </c>
      <c r="J93">
        <v>1334</v>
      </c>
      <c r="K93">
        <v>1240</v>
      </c>
      <c r="L93">
        <v>22</v>
      </c>
      <c r="M93">
        <v>9</v>
      </c>
      <c r="N93">
        <v>1178</v>
      </c>
      <c r="O93">
        <v>42.4</v>
      </c>
      <c r="P93">
        <v>14.4</v>
      </c>
      <c r="Q93" t="s">
        <v>80</v>
      </c>
      <c r="R93" t="s">
        <v>81</v>
      </c>
      <c r="S93" t="s">
        <v>82</v>
      </c>
      <c r="T93">
        <v>0</v>
      </c>
      <c r="U93">
        <v>3</v>
      </c>
      <c r="V93" s="6">
        <v>105.5</v>
      </c>
      <c r="W93" s="6">
        <v>1633.67</v>
      </c>
      <c r="X93" t="s">
        <v>83</v>
      </c>
      <c r="Y93" s="7">
        <f t="shared" si="7"/>
        <v>1.7741935483870968E-2</v>
      </c>
      <c r="Z93" s="7">
        <f t="shared" si="8"/>
        <v>0.95</v>
      </c>
      <c r="AA93">
        <f t="shared" si="9"/>
        <v>94</v>
      </c>
      <c r="AB93" s="8">
        <f t="shared" si="10"/>
        <v>2321</v>
      </c>
      <c r="AC93">
        <f t="shared" si="11"/>
        <v>38.700000000000003</v>
      </c>
      <c r="AD93" t="str">
        <f t="shared" si="12"/>
        <v>Low</v>
      </c>
      <c r="AE93" t="str">
        <f t="shared" si="13"/>
        <v>No</v>
      </c>
    </row>
    <row r="94" spans="1:31" x14ac:dyDescent="0.35">
      <c r="A94" t="s">
        <v>195</v>
      </c>
      <c r="B94" s="5">
        <v>46069</v>
      </c>
      <c r="C94" t="s">
        <v>162</v>
      </c>
      <c r="D94" t="s">
        <v>22</v>
      </c>
      <c r="E94" t="s">
        <v>93</v>
      </c>
      <c r="F94" t="s">
        <v>27</v>
      </c>
      <c r="G94" t="s">
        <v>85</v>
      </c>
      <c r="H94" t="s">
        <v>37</v>
      </c>
      <c r="I94" t="s">
        <v>46</v>
      </c>
      <c r="J94">
        <v>1100</v>
      </c>
      <c r="K94">
        <v>1089</v>
      </c>
      <c r="L94">
        <v>30</v>
      </c>
      <c r="M94">
        <v>13</v>
      </c>
      <c r="N94">
        <v>1081</v>
      </c>
      <c r="O94">
        <v>26.5</v>
      </c>
      <c r="P94">
        <v>0</v>
      </c>
      <c r="Q94" t="s">
        <v>80</v>
      </c>
      <c r="R94" t="s">
        <v>81</v>
      </c>
      <c r="S94" t="s">
        <v>82</v>
      </c>
      <c r="T94">
        <v>5</v>
      </c>
      <c r="U94">
        <v>1</v>
      </c>
      <c r="V94" s="6">
        <v>47.73</v>
      </c>
      <c r="W94" s="6">
        <v>1022.74</v>
      </c>
      <c r="X94" t="s">
        <v>83</v>
      </c>
      <c r="Y94" s="7">
        <f t="shared" si="7"/>
        <v>2.7548209366391185E-2</v>
      </c>
      <c r="Z94" s="7">
        <f t="shared" si="8"/>
        <v>0.99265381083562898</v>
      </c>
      <c r="AA94">
        <f t="shared" si="9"/>
        <v>11</v>
      </c>
      <c r="AB94" s="8">
        <f t="shared" si="10"/>
        <v>1431.8999999999999</v>
      </c>
      <c r="AC94">
        <f t="shared" si="11"/>
        <v>27.9</v>
      </c>
      <c r="AD94" t="str">
        <f t="shared" si="12"/>
        <v>Low</v>
      </c>
      <c r="AE94" t="str">
        <f t="shared" si="13"/>
        <v>No</v>
      </c>
    </row>
    <row r="95" spans="1:31" x14ac:dyDescent="0.35">
      <c r="A95" t="s">
        <v>196</v>
      </c>
      <c r="B95" s="5">
        <v>46069</v>
      </c>
      <c r="C95" t="s">
        <v>162</v>
      </c>
      <c r="D95" t="s">
        <v>24</v>
      </c>
      <c r="E95" t="s">
        <v>78</v>
      </c>
      <c r="F95" t="s">
        <v>30</v>
      </c>
      <c r="G95" t="s">
        <v>85</v>
      </c>
      <c r="H95" t="s">
        <v>37</v>
      </c>
      <c r="I95" t="s">
        <v>46</v>
      </c>
      <c r="J95">
        <v>1389</v>
      </c>
      <c r="K95">
        <v>1427</v>
      </c>
      <c r="L95">
        <v>25</v>
      </c>
      <c r="M95">
        <v>21</v>
      </c>
      <c r="N95">
        <v>1422</v>
      </c>
      <c r="O95">
        <v>57.2</v>
      </c>
      <c r="P95">
        <v>11.2</v>
      </c>
      <c r="Q95" t="s">
        <v>86</v>
      </c>
      <c r="R95" t="s">
        <v>81</v>
      </c>
      <c r="S95" t="s">
        <v>82</v>
      </c>
      <c r="T95">
        <v>5</v>
      </c>
      <c r="U95">
        <v>0</v>
      </c>
      <c r="V95" s="6">
        <v>432.8</v>
      </c>
      <c r="W95" s="6">
        <v>4898.63</v>
      </c>
      <c r="X95" t="s">
        <v>87</v>
      </c>
      <c r="Y95" s="7">
        <f t="shared" si="7"/>
        <v>1.751927119831815E-2</v>
      </c>
      <c r="Z95" s="7">
        <f t="shared" si="8"/>
        <v>0.9964961457603364</v>
      </c>
      <c r="AA95">
        <f t="shared" si="9"/>
        <v>-38</v>
      </c>
      <c r="AB95" s="8">
        <f t="shared" si="10"/>
        <v>10820</v>
      </c>
      <c r="AC95">
        <f t="shared" si="11"/>
        <v>50.2</v>
      </c>
      <c r="AD95" t="str">
        <f t="shared" si="12"/>
        <v>Medium</v>
      </c>
      <c r="AE95" t="str">
        <f t="shared" si="13"/>
        <v>Yes</v>
      </c>
    </row>
    <row r="96" spans="1:31" x14ac:dyDescent="0.35">
      <c r="A96" t="s">
        <v>197</v>
      </c>
      <c r="B96" s="5">
        <v>46069</v>
      </c>
      <c r="C96" t="s">
        <v>162</v>
      </c>
      <c r="D96" t="s">
        <v>24</v>
      </c>
      <c r="E96" t="s">
        <v>78</v>
      </c>
      <c r="F96" t="s">
        <v>29</v>
      </c>
      <c r="G96" t="s">
        <v>79</v>
      </c>
      <c r="H96" t="s">
        <v>36</v>
      </c>
      <c r="I96" t="s">
        <v>46</v>
      </c>
      <c r="J96">
        <v>1512</v>
      </c>
      <c r="K96">
        <v>1597</v>
      </c>
      <c r="L96">
        <v>32</v>
      </c>
      <c r="M96">
        <v>12</v>
      </c>
      <c r="N96">
        <v>1500</v>
      </c>
      <c r="O96">
        <v>71.8</v>
      </c>
      <c r="P96">
        <v>15.9</v>
      </c>
      <c r="Q96" t="s">
        <v>80</v>
      </c>
      <c r="R96" t="s">
        <v>81</v>
      </c>
      <c r="S96" t="s">
        <v>138</v>
      </c>
      <c r="T96">
        <v>6</v>
      </c>
      <c r="U96">
        <v>0</v>
      </c>
      <c r="V96" s="6">
        <v>252.89</v>
      </c>
      <c r="W96" s="6">
        <v>3621.33</v>
      </c>
      <c r="X96" t="s">
        <v>94</v>
      </c>
      <c r="Y96" s="7">
        <f t="shared" si="7"/>
        <v>2.0037570444583593E-2</v>
      </c>
      <c r="Z96" s="7">
        <f t="shared" si="8"/>
        <v>0.93926111458985595</v>
      </c>
      <c r="AA96">
        <f t="shared" si="9"/>
        <v>-85</v>
      </c>
      <c r="AB96" s="8">
        <f t="shared" si="10"/>
        <v>8092.48</v>
      </c>
      <c r="AC96">
        <f t="shared" si="11"/>
        <v>55.4</v>
      </c>
      <c r="AD96" t="str">
        <f t="shared" si="12"/>
        <v>Medium</v>
      </c>
      <c r="AE96" t="str">
        <f t="shared" si="13"/>
        <v>Yes</v>
      </c>
    </row>
    <row r="97" spans="1:31" x14ac:dyDescent="0.35">
      <c r="A97" t="s">
        <v>198</v>
      </c>
      <c r="B97" s="5">
        <v>46069</v>
      </c>
      <c r="C97" t="s">
        <v>162</v>
      </c>
      <c r="D97" t="s">
        <v>20</v>
      </c>
      <c r="E97" t="s">
        <v>78</v>
      </c>
      <c r="F97" t="s">
        <v>27</v>
      </c>
      <c r="G97" t="s">
        <v>85</v>
      </c>
      <c r="H97" t="s">
        <v>36</v>
      </c>
      <c r="I97" t="s">
        <v>48</v>
      </c>
      <c r="J97">
        <v>862</v>
      </c>
      <c r="K97">
        <v>848</v>
      </c>
      <c r="L97">
        <v>30</v>
      </c>
      <c r="M97">
        <v>19</v>
      </c>
      <c r="N97">
        <v>840</v>
      </c>
      <c r="O97">
        <v>41.6</v>
      </c>
      <c r="P97">
        <v>3.1</v>
      </c>
      <c r="Q97" t="s">
        <v>80</v>
      </c>
      <c r="R97" t="s">
        <v>81</v>
      </c>
      <c r="S97" t="s">
        <v>82</v>
      </c>
      <c r="T97">
        <v>4</v>
      </c>
      <c r="U97">
        <v>6</v>
      </c>
      <c r="V97" s="6">
        <v>216.3</v>
      </c>
      <c r="W97" s="6">
        <v>4871.8999999999996</v>
      </c>
      <c r="X97" t="s">
        <v>121</v>
      </c>
      <c r="Y97" s="7">
        <f t="shared" si="7"/>
        <v>3.5377358490566037E-2</v>
      </c>
      <c r="Z97" s="7">
        <f t="shared" si="8"/>
        <v>0.99056603773584906</v>
      </c>
      <c r="AA97">
        <f t="shared" si="9"/>
        <v>14</v>
      </c>
      <c r="AB97" s="8">
        <f t="shared" si="10"/>
        <v>6489</v>
      </c>
      <c r="AC97">
        <f t="shared" si="11"/>
        <v>39.799999999999997</v>
      </c>
      <c r="AD97" t="str">
        <f t="shared" si="12"/>
        <v>Low</v>
      </c>
      <c r="AE97" t="str">
        <f t="shared" si="13"/>
        <v>No</v>
      </c>
    </row>
    <row r="98" spans="1:31" x14ac:dyDescent="0.35">
      <c r="A98" t="s">
        <v>199</v>
      </c>
      <c r="B98" s="5">
        <v>46069</v>
      </c>
      <c r="C98" t="s">
        <v>162</v>
      </c>
      <c r="D98" t="s">
        <v>20</v>
      </c>
      <c r="E98" t="s">
        <v>78</v>
      </c>
      <c r="F98" t="s">
        <v>27</v>
      </c>
      <c r="G98" t="s">
        <v>79</v>
      </c>
      <c r="H98" t="s">
        <v>36</v>
      </c>
      <c r="I98" t="s">
        <v>42</v>
      </c>
      <c r="J98">
        <v>1208</v>
      </c>
      <c r="K98">
        <v>1174</v>
      </c>
      <c r="L98">
        <v>39</v>
      </c>
      <c r="M98">
        <v>31</v>
      </c>
      <c r="N98">
        <v>1170</v>
      </c>
      <c r="O98">
        <v>73.8</v>
      </c>
      <c r="P98">
        <v>8.5</v>
      </c>
      <c r="Q98" t="s">
        <v>80</v>
      </c>
      <c r="R98" t="s">
        <v>81</v>
      </c>
      <c r="S98" t="s">
        <v>100</v>
      </c>
      <c r="T98">
        <v>5</v>
      </c>
      <c r="U98">
        <v>5</v>
      </c>
      <c r="V98" s="6">
        <v>184.1</v>
      </c>
      <c r="W98" s="6">
        <v>2380.83</v>
      </c>
      <c r="X98" t="s">
        <v>94</v>
      </c>
      <c r="Y98" s="7">
        <f t="shared" si="7"/>
        <v>3.3219761499148209E-2</v>
      </c>
      <c r="Z98" s="7">
        <f t="shared" si="8"/>
        <v>0.99659284497444633</v>
      </c>
      <c r="AA98">
        <f t="shared" si="9"/>
        <v>34</v>
      </c>
      <c r="AB98" s="8">
        <f t="shared" si="10"/>
        <v>7179.9</v>
      </c>
      <c r="AC98">
        <f t="shared" si="11"/>
        <v>44.4</v>
      </c>
      <c r="AD98" t="str">
        <f t="shared" si="12"/>
        <v>Medium</v>
      </c>
      <c r="AE98" t="str">
        <f t="shared" si="13"/>
        <v>No</v>
      </c>
    </row>
    <row r="99" spans="1:31" x14ac:dyDescent="0.35">
      <c r="A99" t="s">
        <v>200</v>
      </c>
      <c r="B99" s="5">
        <v>46069</v>
      </c>
      <c r="C99" t="s">
        <v>162</v>
      </c>
      <c r="D99" t="s">
        <v>22</v>
      </c>
      <c r="E99" t="s">
        <v>93</v>
      </c>
      <c r="F99" t="s">
        <v>31</v>
      </c>
      <c r="G99" t="s">
        <v>85</v>
      </c>
      <c r="H99" t="s">
        <v>37</v>
      </c>
      <c r="I99" t="s">
        <v>47</v>
      </c>
      <c r="J99">
        <v>1370</v>
      </c>
      <c r="K99">
        <v>1302</v>
      </c>
      <c r="L99">
        <v>22</v>
      </c>
      <c r="M99">
        <v>11</v>
      </c>
      <c r="N99">
        <v>1294</v>
      </c>
      <c r="O99">
        <v>31.1</v>
      </c>
      <c r="P99">
        <v>5.9</v>
      </c>
      <c r="Q99" t="s">
        <v>80</v>
      </c>
      <c r="R99" t="s">
        <v>81</v>
      </c>
      <c r="S99" t="s">
        <v>138</v>
      </c>
      <c r="T99">
        <v>3</v>
      </c>
      <c r="U99">
        <v>1</v>
      </c>
      <c r="V99" s="6">
        <v>223.78</v>
      </c>
      <c r="W99" s="6">
        <v>3788.33</v>
      </c>
      <c r="X99" t="s">
        <v>83</v>
      </c>
      <c r="Y99" s="7">
        <f t="shared" si="7"/>
        <v>1.6897081413210446E-2</v>
      </c>
      <c r="Z99" s="7">
        <f t="shared" si="8"/>
        <v>0.99385560675883255</v>
      </c>
      <c r="AA99">
        <f t="shared" si="9"/>
        <v>68</v>
      </c>
      <c r="AB99" s="8">
        <f t="shared" si="10"/>
        <v>4923.16</v>
      </c>
      <c r="AC99">
        <f t="shared" si="11"/>
        <v>36.799999999999997</v>
      </c>
      <c r="AD99" t="str">
        <f t="shared" si="12"/>
        <v>Low</v>
      </c>
      <c r="AE99" t="str">
        <f t="shared" si="13"/>
        <v>Yes</v>
      </c>
    </row>
    <row r="100" spans="1:31" x14ac:dyDescent="0.35">
      <c r="A100" t="s">
        <v>201</v>
      </c>
      <c r="B100" s="5">
        <v>46069</v>
      </c>
      <c r="C100" t="s">
        <v>162</v>
      </c>
      <c r="D100" t="s">
        <v>20</v>
      </c>
      <c r="E100" t="s">
        <v>78</v>
      </c>
      <c r="F100" t="s">
        <v>31</v>
      </c>
      <c r="G100" t="s">
        <v>85</v>
      </c>
      <c r="H100" t="s">
        <v>37</v>
      </c>
      <c r="I100" t="s">
        <v>48</v>
      </c>
      <c r="J100">
        <v>1366</v>
      </c>
      <c r="K100">
        <v>1411</v>
      </c>
      <c r="L100">
        <v>58</v>
      </c>
      <c r="M100">
        <v>35</v>
      </c>
      <c r="N100">
        <v>1254</v>
      </c>
      <c r="O100">
        <v>48.1</v>
      </c>
      <c r="P100">
        <v>4.5</v>
      </c>
      <c r="Q100" t="s">
        <v>80</v>
      </c>
      <c r="R100" t="s">
        <v>81</v>
      </c>
      <c r="S100" t="s">
        <v>138</v>
      </c>
      <c r="T100">
        <v>11</v>
      </c>
      <c r="U100">
        <v>3</v>
      </c>
      <c r="V100" s="6">
        <v>408.56</v>
      </c>
      <c r="W100" s="6">
        <v>11575.93</v>
      </c>
      <c r="X100" t="s">
        <v>94</v>
      </c>
      <c r="Y100" s="7">
        <f t="shared" si="7"/>
        <v>4.1105598866052445E-2</v>
      </c>
      <c r="Z100" s="7">
        <f t="shared" si="8"/>
        <v>0.88873139617292696</v>
      </c>
      <c r="AA100">
        <f t="shared" si="9"/>
        <v>-45</v>
      </c>
      <c r="AB100" s="8">
        <f t="shared" si="10"/>
        <v>23696.48</v>
      </c>
      <c r="AC100">
        <f t="shared" si="11"/>
        <v>64</v>
      </c>
      <c r="AD100" t="str">
        <f t="shared" si="12"/>
        <v>Medium</v>
      </c>
      <c r="AE100" t="str">
        <f t="shared" si="13"/>
        <v>Yes</v>
      </c>
    </row>
    <row r="101" spans="1:31" x14ac:dyDescent="0.35">
      <c r="A101" t="s">
        <v>202</v>
      </c>
      <c r="B101" s="5">
        <v>46069</v>
      </c>
      <c r="C101" t="s">
        <v>162</v>
      </c>
      <c r="D101" t="s">
        <v>24</v>
      </c>
      <c r="E101" t="s">
        <v>78</v>
      </c>
      <c r="F101" t="s">
        <v>30</v>
      </c>
      <c r="G101" t="s">
        <v>85</v>
      </c>
      <c r="H101" t="s">
        <v>39</v>
      </c>
      <c r="I101" t="s">
        <v>48</v>
      </c>
      <c r="J101">
        <v>1193</v>
      </c>
      <c r="K101">
        <v>1183</v>
      </c>
      <c r="L101">
        <v>28</v>
      </c>
      <c r="M101">
        <v>13</v>
      </c>
      <c r="N101">
        <v>1183</v>
      </c>
      <c r="O101">
        <v>45.5</v>
      </c>
      <c r="P101">
        <v>17.3</v>
      </c>
      <c r="Q101" t="s">
        <v>80</v>
      </c>
      <c r="R101" t="s">
        <v>81</v>
      </c>
      <c r="S101" t="s">
        <v>100</v>
      </c>
      <c r="T101">
        <v>4</v>
      </c>
      <c r="U101">
        <v>1</v>
      </c>
      <c r="V101" s="6">
        <v>232.95</v>
      </c>
      <c r="W101" s="6">
        <v>3399.76</v>
      </c>
      <c r="X101" t="s">
        <v>87</v>
      </c>
      <c r="Y101" s="7">
        <f t="shared" si="7"/>
        <v>2.3668639053254437E-2</v>
      </c>
      <c r="Z101" s="7">
        <f t="shared" si="8"/>
        <v>1</v>
      </c>
      <c r="AA101">
        <f t="shared" si="9"/>
        <v>10</v>
      </c>
      <c r="AB101" s="8">
        <f t="shared" si="10"/>
        <v>6522.5999999999995</v>
      </c>
      <c r="AC101">
        <f t="shared" si="11"/>
        <v>46.2</v>
      </c>
      <c r="AD101" t="str">
        <f t="shared" si="12"/>
        <v>Medium</v>
      </c>
      <c r="AE101" t="str">
        <f t="shared" si="13"/>
        <v>No</v>
      </c>
    </row>
    <row r="102" spans="1:31" x14ac:dyDescent="0.35">
      <c r="A102" t="s">
        <v>203</v>
      </c>
      <c r="B102" s="5">
        <v>46069</v>
      </c>
      <c r="C102" t="s">
        <v>162</v>
      </c>
      <c r="D102" t="s">
        <v>25</v>
      </c>
      <c r="E102" t="s">
        <v>89</v>
      </c>
      <c r="F102" t="s">
        <v>29</v>
      </c>
      <c r="G102" t="s">
        <v>79</v>
      </c>
      <c r="H102" t="s">
        <v>40</v>
      </c>
      <c r="I102" t="s">
        <v>44</v>
      </c>
      <c r="J102">
        <v>1365</v>
      </c>
      <c r="K102">
        <v>1426</v>
      </c>
      <c r="L102">
        <v>43</v>
      </c>
      <c r="M102">
        <v>16</v>
      </c>
      <c r="N102">
        <v>1321</v>
      </c>
      <c r="O102">
        <v>56.4</v>
      </c>
      <c r="P102">
        <v>12.2</v>
      </c>
      <c r="Q102" t="s">
        <v>80</v>
      </c>
      <c r="R102" t="s">
        <v>81</v>
      </c>
      <c r="S102" t="s">
        <v>82</v>
      </c>
      <c r="T102">
        <v>8</v>
      </c>
      <c r="U102">
        <v>3</v>
      </c>
      <c r="V102" s="6">
        <v>83.14</v>
      </c>
      <c r="W102" s="6">
        <v>1319.78</v>
      </c>
      <c r="X102" t="s">
        <v>94</v>
      </c>
      <c r="Y102" s="7">
        <f t="shared" si="7"/>
        <v>3.0154277699859747E-2</v>
      </c>
      <c r="Z102" s="7">
        <f t="shared" si="8"/>
        <v>0.92636746143057502</v>
      </c>
      <c r="AA102">
        <f t="shared" si="9"/>
        <v>-61</v>
      </c>
      <c r="AB102" s="8">
        <f t="shared" si="10"/>
        <v>3575.02</v>
      </c>
      <c r="AC102">
        <f t="shared" si="11"/>
        <v>49.3</v>
      </c>
      <c r="AD102" t="str">
        <f t="shared" si="12"/>
        <v>Medium</v>
      </c>
      <c r="AE102" t="str">
        <f t="shared" si="13"/>
        <v>No</v>
      </c>
    </row>
    <row r="103" spans="1:31" x14ac:dyDescent="0.35">
      <c r="A103" t="s">
        <v>204</v>
      </c>
      <c r="B103" s="5">
        <v>46069</v>
      </c>
      <c r="C103" t="s">
        <v>162</v>
      </c>
      <c r="D103" t="s">
        <v>20</v>
      </c>
      <c r="E103" t="s">
        <v>78</v>
      </c>
      <c r="F103" t="s">
        <v>30</v>
      </c>
      <c r="G103" t="s">
        <v>90</v>
      </c>
      <c r="H103" t="s">
        <v>36</v>
      </c>
      <c r="I103" t="s">
        <v>47</v>
      </c>
      <c r="J103">
        <v>947</v>
      </c>
      <c r="K103">
        <v>974</v>
      </c>
      <c r="L103">
        <v>15</v>
      </c>
      <c r="M103">
        <v>7</v>
      </c>
      <c r="N103">
        <v>906</v>
      </c>
      <c r="O103">
        <v>39.200000000000003</v>
      </c>
      <c r="P103">
        <v>24.8</v>
      </c>
      <c r="Q103" t="s">
        <v>80</v>
      </c>
      <c r="R103" t="s">
        <v>81</v>
      </c>
      <c r="S103" t="s">
        <v>82</v>
      </c>
      <c r="T103">
        <v>0</v>
      </c>
      <c r="U103">
        <v>2</v>
      </c>
      <c r="V103" s="6">
        <v>325.86</v>
      </c>
      <c r="W103" s="6">
        <v>2655.75</v>
      </c>
      <c r="X103" t="s">
        <v>94</v>
      </c>
      <c r="Y103" s="7">
        <f t="shared" si="7"/>
        <v>1.5400410677618069E-2</v>
      </c>
      <c r="Z103" s="7">
        <f t="shared" si="8"/>
        <v>0.93018480492813138</v>
      </c>
      <c r="AA103">
        <f t="shared" si="9"/>
        <v>-27</v>
      </c>
      <c r="AB103" s="8">
        <f t="shared" si="10"/>
        <v>4887.9000000000005</v>
      </c>
      <c r="AC103">
        <f t="shared" si="11"/>
        <v>50.8</v>
      </c>
      <c r="AD103" t="str">
        <f t="shared" si="12"/>
        <v>Medium</v>
      </c>
      <c r="AE103" t="str">
        <f t="shared" si="13"/>
        <v>No</v>
      </c>
    </row>
    <row r="104" spans="1:31" x14ac:dyDescent="0.35">
      <c r="A104" t="s">
        <v>205</v>
      </c>
      <c r="B104" s="5">
        <v>46069</v>
      </c>
      <c r="C104" t="s">
        <v>162</v>
      </c>
      <c r="D104" t="s">
        <v>20</v>
      </c>
      <c r="E104" t="s">
        <v>78</v>
      </c>
      <c r="F104" t="s">
        <v>31</v>
      </c>
      <c r="G104" t="s">
        <v>85</v>
      </c>
      <c r="H104" t="s">
        <v>37</v>
      </c>
      <c r="I104" t="s">
        <v>46</v>
      </c>
      <c r="J104">
        <v>819</v>
      </c>
      <c r="K104">
        <v>849</v>
      </c>
      <c r="L104">
        <v>20</v>
      </c>
      <c r="M104">
        <v>7</v>
      </c>
      <c r="N104">
        <v>819</v>
      </c>
      <c r="O104">
        <v>69.7</v>
      </c>
      <c r="P104">
        <v>13.9</v>
      </c>
      <c r="Q104" t="s">
        <v>80</v>
      </c>
      <c r="R104" t="s">
        <v>81</v>
      </c>
      <c r="S104" t="s">
        <v>82</v>
      </c>
      <c r="T104">
        <v>9</v>
      </c>
      <c r="U104">
        <v>0</v>
      </c>
      <c r="V104" s="6">
        <v>112.35</v>
      </c>
      <c r="W104" s="6">
        <v>1154.68</v>
      </c>
      <c r="X104" t="s">
        <v>91</v>
      </c>
      <c r="Y104" s="7">
        <f t="shared" si="7"/>
        <v>2.3557126030624265E-2</v>
      </c>
      <c r="Z104" s="7">
        <f t="shared" si="8"/>
        <v>0.96466431095406358</v>
      </c>
      <c r="AA104">
        <f t="shared" si="9"/>
        <v>-30</v>
      </c>
      <c r="AB104" s="8">
        <f t="shared" si="10"/>
        <v>2247</v>
      </c>
      <c r="AC104">
        <f t="shared" si="11"/>
        <v>43.2</v>
      </c>
      <c r="AD104" t="str">
        <f t="shared" si="12"/>
        <v>Medium</v>
      </c>
      <c r="AE104" t="str">
        <f t="shared" si="13"/>
        <v>No</v>
      </c>
    </row>
    <row r="105" spans="1:31" x14ac:dyDescent="0.35">
      <c r="A105" t="s">
        <v>206</v>
      </c>
      <c r="B105" s="5">
        <v>46069</v>
      </c>
      <c r="C105" t="s">
        <v>162</v>
      </c>
      <c r="D105" t="s">
        <v>22</v>
      </c>
      <c r="E105" t="s">
        <v>93</v>
      </c>
      <c r="F105" t="s">
        <v>32</v>
      </c>
      <c r="G105" t="s">
        <v>85</v>
      </c>
      <c r="H105" t="s">
        <v>34</v>
      </c>
      <c r="I105" t="s">
        <v>45</v>
      </c>
      <c r="J105">
        <v>958</v>
      </c>
      <c r="K105">
        <v>895</v>
      </c>
      <c r="L105">
        <v>36</v>
      </c>
      <c r="M105">
        <v>17</v>
      </c>
      <c r="N105">
        <v>829</v>
      </c>
      <c r="O105">
        <v>39.5</v>
      </c>
      <c r="P105">
        <v>2.5</v>
      </c>
      <c r="Q105" t="s">
        <v>80</v>
      </c>
      <c r="R105" t="s">
        <v>81</v>
      </c>
      <c r="S105" t="s">
        <v>82</v>
      </c>
      <c r="T105">
        <v>3</v>
      </c>
      <c r="U105">
        <v>0</v>
      </c>
      <c r="V105" s="6">
        <v>209.17</v>
      </c>
      <c r="W105" s="6">
        <v>2273.66</v>
      </c>
      <c r="X105" t="s">
        <v>115</v>
      </c>
      <c r="Y105" s="7">
        <f t="shared" si="7"/>
        <v>4.0223463687150837E-2</v>
      </c>
      <c r="Z105" s="7">
        <f t="shared" si="8"/>
        <v>0.92625698324022343</v>
      </c>
      <c r="AA105">
        <f t="shared" si="9"/>
        <v>63</v>
      </c>
      <c r="AB105" s="8">
        <f t="shared" si="10"/>
        <v>7530.12</v>
      </c>
      <c r="AC105">
        <f t="shared" si="11"/>
        <v>46.8</v>
      </c>
      <c r="AD105" t="str">
        <f t="shared" si="12"/>
        <v>Medium</v>
      </c>
      <c r="AE105" t="str">
        <f t="shared" si="13"/>
        <v>No</v>
      </c>
    </row>
    <row r="106" spans="1:31" x14ac:dyDescent="0.35">
      <c r="A106" t="s">
        <v>207</v>
      </c>
      <c r="B106" s="5">
        <v>46069</v>
      </c>
      <c r="C106" t="s">
        <v>162</v>
      </c>
      <c r="D106" t="s">
        <v>25</v>
      </c>
      <c r="E106" t="s">
        <v>89</v>
      </c>
      <c r="F106" t="s">
        <v>29</v>
      </c>
      <c r="G106" t="s">
        <v>90</v>
      </c>
      <c r="H106" t="s">
        <v>40</v>
      </c>
      <c r="I106" t="s">
        <v>46</v>
      </c>
      <c r="J106">
        <v>1212</v>
      </c>
      <c r="K106">
        <v>1221</v>
      </c>
      <c r="L106">
        <v>15</v>
      </c>
      <c r="M106">
        <v>10</v>
      </c>
      <c r="N106">
        <v>1104</v>
      </c>
      <c r="O106">
        <v>60.5</v>
      </c>
      <c r="P106">
        <v>16</v>
      </c>
      <c r="Q106" t="s">
        <v>80</v>
      </c>
      <c r="R106" t="s">
        <v>81</v>
      </c>
      <c r="S106" t="s">
        <v>82</v>
      </c>
      <c r="T106">
        <v>2</v>
      </c>
      <c r="U106">
        <v>3</v>
      </c>
      <c r="V106" s="6">
        <v>265.23</v>
      </c>
      <c r="W106" s="6">
        <v>1796.58</v>
      </c>
      <c r="X106" t="s">
        <v>94</v>
      </c>
      <c r="Y106" s="7">
        <f t="shared" si="7"/>
        <v>1.2285012285012284E-2</v>
      </c>
      <c r="Z106" s="7">
        <f t="shared" si="8"/>
        <v>0.90417690417690422</v>
      </c>
      <c r="AA106">
        <f t="shared" si="9"/>
        <v>-9</v>
      </c>
      <c r="AB106" s="8">
        <f t="shared" si="10"/>
        <v>3978.4500000000003</v>
      </c>
      <c r="AC106">
        <f t="shared" si="11"/>
        <v>37.4</v>
      </c>
      <c r="AD106" t="str">
        <f t="shared" si="12"/>
        <v>Low</v>
      </c>
      <c r="AE106" t="str">
        <f t="shared" si="13"/>
        <v>No</v>
      </c>
    </row>
    <row r="107" spans="1:31" x14ac:dyDescent="0.35">
      <c r="A107" t="s">
        <v>208</v>
      </c>
      <c r="B107" s="5">
        <v>46076</v>
      </c>
      <c r="C107" t="s">
        <v>162</v>
      </c>
      <c r="D107" t="s">
        <v>22</v>
      </c>
      <c r="E107" t="s">
        <v>93</v>
      </c>
      <c r="F107" t="s">
        <v>31</v>
      </c>
      <c r="G107" t="s">
        <v>85</v>
      </c>
      <c r="H107" t="s">
        <v>40</v>
      </c>
      <c r="I107" t="s">
        <v>48</v>
      </c>
      <c r="J107">
        <v>1529</v>
      </c>
      <c r="K107">
        <v>1519</v>
      </c>
      <c r="L107">
        <v>33</v>
      </c>
      <c r="M107">
        <v>13</v>
      </c>
      <c r="N107">
        <v>1480</v>
      </c>
      <c r="O107">
        <v>41.8</v>
      </c>
      <c r="P107">
        <v>9.1</v>
      </c>
      <c r="Q107" t="s">
        <v>80</v>
      </c>
      <c r="R107" t="s">
        <v>81</v>
      </c>
      <c r="S107" t="s">
        <v>82</v>
      </c>
      <c r="T107">
        <v>4</v>
      </c>
      <c r="U107">
        <v>3</v>
      </c>
      <c r="V107" s="6">
        <v>153.71</v>
      </c>
      <c r="W107" s="6">
        <v>2584.4499999999998</v>
      </c>
      <c r="X107" t="s">
        <v>115</v>
      </c>
      <c r="Y107" s="7">
        <f t="shared" si="7"/>
        <v>2.1724818959842001E-2</v>
      </c>
      <c r="Z107" s="7">
        <f t="shared" si="8"/>
        <v>0.97432521395655036</v>
      </c>
      <c r="AA107">
        <f t="shared" si="9"/>
        <v>10</v>
      </c>
      <c r="AB107" s="8">
        <f t="shared" si="10"/>
        <v>5072.43</v>
      </c>
      <c r="AC107">
        <f t="shared" si="11"/>
        <v>34.700000000000003</v>
      </c>
      <c r="AD107" t="str">
        <f t="shared" si="12"/>
        <v>Low</v>
      </c>
      <c r="AE107" t="str">
        <f t="shared" si="13"/>
        <v>No</v>
      </c>
    </row>
    <row r="108" spans="1:31" x14ac:dyDescent="0.35">
      <c r="A108" t="s">
        <v>209</v>
      </c>
      <c r="B108" s="5">
        <v>46076</v>
      </c>
      <c r="C108" t="s">
        <v>162</v>
      </c>
      <c r="D108" t="s">
        <v>20</v>
      </c>
      <c r="E108" t="s">
        <v>78</v>
      </c>
      <c r="F108" t="s">
        <v>31</v>
      </c>
      <c r="G108" t="s">
        <v>85</v>
      </c>
      <c r="H108" t="s">
        <v>40</v>
      </c>
      <c r="I108" t="s">
        <v>44</v>
      </c>
      <c r="J108">
        <v>1037</v>
      </c>
      <c r="K108">
        <v>1034</v>
      </c>
      <c r="L108">
        <v>8</v>
      </c>
      <c r="M108">
        <v>6</v>
      </c>
      <c r="N108">
        <v>928</v>
      </c>
      <c r="O108">
        <v>50</v>
      </c>
      <c r="P108">
        <v>6.9</v>
      </c>
      <c r="Q108" t="s">
        <v>80</v>
      </c>
      <c r="R108" t="s">
        <v>81</v>
      </c>
      <c r="S108" t="s">
        <v>82</v>
      </c>
      <c r="T108">
        <v>6</v>
      </c>
      <c r="U108">
        <v>0</v>
      </c>
      <c r="V108" s="6">
        <v>143.28</v>
      </c>
      <c r="W108" s="6">
        <v>288.60000000000002</v>
      </c>
      <c r="X108" t="s">
        <v>87</v>
      </c>
      <c r="Y108" s="7">
        <f t="shared" si="7"/>
        <v>7.7369439071566732E-3</v>
      </c>
      <c r="Z108" s="7">
        <f t="shared" si="8"/>
        <v>0.89748549323017413</v>
      </c>
      <c r="AA108">
        <f t="shared" si="9"/>
        <v>3</v>
      </c>
      <c r="AB108" s="8">
        <f t="shared" si="10"/>
        <v>1146.24</v>
      </c>
      <c r="AC108">
        <f t="shared" si="11"/>
        <v>21.3</v>
      </c>
      <c r="AD108" t="str">
        <f t="shared" si="12"/>
        <v>Low</v>
      </c>
      <c r="AE108" t="str">
        <f t="shared" si="13"/>
        <v>No</v>
      </c>
    </row>
    <row r="109" spans="1:31" x14ac:dyDescent="0.35">
      <c r="A109" t="s">
        <v>210</v>
      </c>
      <c r="B109" s="5">
        <v>46076</v>
      </c>
      <c r="C109" t="s">
        <v>162</v>
      </c>
      <c r="D109" t="s">
        <v>22</v>
      </c>
      <c r="E109" t="s">
        <v>93</v>
      </c>
      <c r="F109" t="s">
        <v>27</v>
      </c>
      <c r="G109" t="s">
        <v>85</v>
      </c>
      <c r="H109" t="s">
        <v>36</v>
      </c>
      <c r="I109" t="s">
        <v>47</v>
      </c>
      <c r="J109">
        <v>782</v>
      </c>
      <c r="K109">
        <v>741</v>
      </c>
      <c r="L109">
        <v>16</v>
      </c>
      <c r="M109">
        <v>9</v>
      </c>
      <c r="N109">
        <v>730</v>
      </c>
      <c r="O109">
        <v>46.6</v>
      </c>
      <c r="P109">
        <v>12.1</v>
      </c>
      <c r="Q109" t="s">
        <v>96</v>
      </c>
      <c r="R109" t="s">
        <v>81</v>
      </c>
      <c r="S109" t="s">
        <v>82</v>
      </c>
      <c r="T109">
        <v>2</v>
      </c>
      <c r="U109">
        <v>1</v>
      </c>
      <c r="V109" s="6">
        <v>109.42</v>
      </c>
      <c r="W109" s="6">
        <v>1135.56</v>
      </c>
      <c r="X109" t="s">
        <v>94</v>
      </c>
      <c r="Y109" s="7">
        <f t="shared" si="7"/>
        <v>2.1592442645074223E-2</v>
      </c>
      <c r="Z109" s="7">
        <f t="shared" si="8"/>
        <v>0.98515519568151144</v>
      </c>
      <c r="AA109">
        <f t="shared" si="9"/>
        <v>41</v>
      </c>
      <c r="AB109" s="8">
        <f t="shared" si="10"/>
        <v>1750.72</v>
      </c>
      <c r="AC109">
        <f t="shared" si="11"/>
        <v>48</v>
      </c>
      <c r="AD109" t="str">
        <f t="shared" si="12"/>
        <v>Medium</v>
      </c>
      <c r="AE109" t="str">
        <f t="shared" si="13"/>
        <v>No</v>
      </c>
    </row>
    <row r="110" spans="1:31" x14ac:dyDescent="0.35">
      <c r="A110" t="s">
        <v>211</v>
      </c>
      <c r="B110" s="5">
        <v>46076</v>
      </c>
      <c r="C110" t="s">
        <v>162</v>
      </c>
      <c r="D110" t="s">
        <v>22</v>
      </c>
      <c r="E110" t="s">
        <v>93</v>
      </c>
      <c r="F110" t="s">
        <v>31</v>
      </c>
      <c r="G110" t="s">
        <v>85</v>
      </c>
      <c r="H110" t="s">
        <v>39</v>
      </c>
      <c r="I110" t="s">
        <v>45</v>
      </c>
      <c r="J110">
        <v>929</v>
      </c>
      <c r="K110">
        <v>912</v>
      </c>
      <c r="L110">
        <v>18</v>
      </c>
      <c r="M110">
        <v>9</v>
      </c>
      <c r="N110">
        <v>813</v>
      </c>
      <c r="O110">
        <v>51.7</v>
      </c>
      <c r="P110">
        <v>8.4</v>
      </c>
      <c r="Q110" t="s">
        <v>80</v>
      </c>
      <c r="R110" t="s">
        <v>81</v>
      </c>
      <c r="S110" t="s">
        <v>82</v>
      </c>
      <c r="T110">
        <v>2</v>
      </c>
      <c r="U110">
        <v>2</v>
      </c>
      <c r="V110" s="6">
        <v>269.24</v>
      </c>
      <c r="W110" s="6">
        <v>1547.95</v>
      </c>
      <c r="X110" t="s">
        <v>94</v>
      </c>
      <c r="Y110" s="7">
        <f t="shared" si="7"/>
        <v>1.9736842105263157E-2</v>
      </c>
      <c r="Z110" s="7">
        <f t="shared" si="8"/>
        <v>0.89144736842105265</v>
      </c>
      <c r="AA110">
        <f t="shared" si="9"/>
        <v>17</v>
      </c>
      <c r="AB110" s="8">
        <f t="shared" si="10"/>
        <v>4846.32</v>
      </c>
      <c r="AC110">
        <f t="shared" si="11"/>
        <v>35.5</v>
      </c>
      <c r="AD110" t="str">
        <f t="shared" si="12"/>
        <v>Low</v>
      </c>
      <c r="AE110" t="str">
        <f t="shared" si="13"/>
        <v>No</v>
      </c>
    </row>
    <row r="111" spans="1:31" x14ac:dyDescent="0.35">
      <c r="A111" t="s">
        <v>212</v>
      </c>
      <c r="B111" s="5">
        <v>46076</v>
      </c>
      <c r="C111" t="s">
        <v>162</v>
      </c>
      <c r="D111" t="s">
        <v>22</v>
      </c>
      <c r="E111" t="s">
        <v>93</v>
      </c>
      <c r="F111" t="s">
        <v>32</v>
      </c>
      <c r="G111" t="s">
        <v>90</v>
      </c>
      <c r="H111" t="s">
        <v>34</v>
      </c>
      <c r="I111" t="s">
        <v>44</v>
      </c>
      <c r="J111">
        <v>1224</v>
      </c>
      <c r="K111">
        <v>1236</v>
      </c>
      <c r="L111">
        <v>44</v>
      </c>
      <c r="M111">
        <v>30</v>
      </c>
      <c r="N111">
        <v>1121</v>
      </c>
      <c r="O111">
        <v>19.2</v>
      </c>
      <c r="P111">
        <v>3.6</v>
      </c>
      <c r="Q111" t="s">
        <v>80</v>
      </c>
      <c r="R111" t="s">
        <v>81</v>
      </c>
      <c r="S111" t="s">
        <v>82</v>
      </c>
      <c r="T111">
        <v>10</v>
      </c>
      <c r="U111">
        <v>4</v>
      </c>
      <c r="V111" s="6">
        <v>196.57</v>
      </c>
      <c r="W111" s="6">
        <v>6664.89</v>
      </c>
      <c r="X111" t="s">
        <v>115</v>
      </c>
      <c r="Y111" s="7">
        <f t="shared" si="7"/>
        <v>3.5598705501618123E-2</v>
      </c>
      <c r="Z111" s="7">
        <f t="shared" si="8"/>
        <v>0.90695792880258896</v>
      </c>
      <c r="AA111">
        <f t="shared" si="9"/>
        <v>-12</v>
      </c>
      <c r="AB111" s="8">
        <f t="shared" si="10"/>
        <v>8649.08</v>
      </c>
      <c r="AC111">
        <f t="shared" si="11"/>
        <v>44.5</v>
      </c>
      <c r="AD111" t="str">
        <f t="shared" si="12"/>
        <v>Medium</v>
      </c>
      <c r="AE111" t="str">
        <f t="shared" si="13"/>
        <v>No</v>
      </c>
    </row>
    <row r="112" spans="1:31" x14ac:dyDescent="0.35">
      <c r="A112" t="s">
        <v>213</v>
      </c>
      <c r="B112" s="5">
        <v>46076</v>
      </c>
      <c r="C112" t="s">
        <v>162</v>
      </c>
      <c r="D112" t="s">
        <v>22</v>
      </c>
      <c r="E112" t="s">
        <v>93</v>
      </c>
      <c r="F112" t="s">
        <v>27</v>
      </c>
      <c r="G112" t="s">
        <v>85</v>
      </c>
      <c r="H112" t="s">
        <v>39</v>
      </c>
      <c r="I112" t="s">
        <v>47</v>
      </c>
      <c r="J112">
        <v>1214</v>
      </c>
      <c r="K112">
        <v>1160</v>
      </c>
      <c r="L112">
        <v>26</v>
      </c>
      <c r="M112">
        <v>16</v>
      </c>
      <c r="N112">
        <v>1144</v>
      </c>
      <c r="O112">
        <v>22.9</v>
      </c>
      <c r="P112">
        <v>8</v>
      </c>
      <c r="Q112" t="s">
        <v>96</v>
      </c>
      <c r="R112" t="s">
        <v>81</v>
      </c>
      <c r="S112" t="s">
        <v>138</v>
      </c>
      <c r="T112">
        <v>0</v>
      </c>
      <c r="U112">
        <v>0</v>
      </c>
      <c r="V112" s="6">
        <v>297.35000000000002</v>
      </c>
      <c r="W112" s="6">
        <v>3298.37</v>
      </c>
      <c r="X112" t="s">
        <v>91</v>
      </c>
      <c r="Y112" s="7">
        <f t="shared" si="7"/>
        <v>2.2413793103448276E-2</v>
      </c>
      <c r="Z112" s="7">
        <f t="shared" si="8"/>
        <v>0.98620689655172411</v>
      </c>
      <c r="AA112">
        <f t="shared" si="9"/>
        <v>54</v>
      </c>
      <c r="AB112" s="8">
        <f t="shared" si="10"/>
        <v>7731.1</v>
      </c>
      <c r="AC112">
        <f t="shared" si="11"/>
        <v>55.4</v>
      </c>
      <c r="AD112" t="str">
        <f t="shared" si="12"/>
        <v>Medium</v>
      </c>
      <c r="AE112" t="str">
        <f t="shared" si="13"/>
        <v>Yes</v>
      </c>
    </row>
    <row r="113" spans="1:31" x14ac:dyDescent="0.35">
      <c r="A113" t="s">
        <v>214</v>
      </c>
      <c r="B113" s="5">
        <v>46076</v>
      </c>
      <c r="C113" t="s">
        <v>162</v>
      </c>
      <c r="D113" t="s">
        <v>22</v>
      </c>
      <c r="E113" t="s">
        <v>93</v>
      </c>
      <c r="F113" t="s">
        <v>29</v>
      </c>
      <c r="G113" t="s">
        <v>79</v>
      </c>
      <c r="H113" t="s">
        <v>34</v>
      </c>
      <c r="I113" t="s">
        <v>46</v>
      </c>
      <c r="J113">
        <v>1237</v>
      </c>
      <c r="K113">
        <v>1165</v>
      </c>
      <c r="L113">
        <v>20</v>
      </c>
      <c r="M113">
        <v>12</v>
      </c>
      <c r="N113">
        <v>1099</v>
      </c>
      <c r="O113">
        <v>52.4</v>
      </c>
      <c r="P113">
        <v>5.5</v>
      </c>
      <c r="Q113" t="s">
        <v>80</v>
      </c>
      <c r="R113" t="s">
        <v>81</v>
      </c>
      <c r="S113" t="s">
        <v>82</v>
      </c>
      <c r="T113">
        <v>2</v>
      </c>
      <c r="U113">
        <v>0</v>
      </c>
      <c r="V113" s="6">
        <v>250.98</v>
      </c>
      <c r="W113" s="6">
        <v>1733.44</v>
      </c>
      <c r="X113" t="s">
        <v>94</v>
      </c>
      <c r="Y113" s="7">
        <f t="shared" si="7"/>
        <v>1.7167381974248927E-2</v>
      </c>
      <c r="Z113" s="7">
        <f t="shared" si="8"/>
        <v>0.94334763948497857</v>
      </c>
      <c r="AA113">
        <f t="shared" si="9"/>
        <v>72</v>
      </c>
      <c r="AB113" s="8">
        <f t="shared" si="10"/>
        <v>5019.5999999999995</v>
      </c>
      <c r="AC113">
        <f t="shared" si="11"/>
        <v>26.9</v>
      </c>
      <c r="AD113" t="str">
        <f t="shared" si="12"/>
        <v>Low</v>
      </c>
      <c r="AE113" t="str">
        <f t="shared" si="13"/>
        <v>No</v>
      </c>
    </row>
    <row r="114" spans="1:31" x14ac:dyDescent="0.35">
      <c r="A114" t="s">
        <v>215</v>
      </c>
      <c r="B114" s="5">
        <v>46076</v>
      </c>
      <c r="C114" t="s">
        <v>162</v>
      </c>
      <c r="D114" t="s">
        <v>20</v>
      </c>
      <c r="E114" t="s">
        <v>78</v>
      </c>
      <c r="F114" t="s">
        <v>32</v>
      </c>
      <c r="G114" t="s">
        <v>79</v>
      </c>
      <c r="H114" t="s">
        <v>38</v>
      </c>
      <c r="I114" t="s">
        <v>42</v>
      </c>
      <c r="J114">
        <v>1510</v>
      </c>
      <c r="K114">
        <v>1464</v>
      </c>
      <c r="L114">
        <v>55</v>
      </c>
      <c r="M114">
        <v>44</v>
      </c>
      <c r="N114">
        <v>1316</v>
      </c>
      <c r="O114">
        <v>21.9</v>
      </c>
      <c r="P114">
        <v>3.8</v>
      </c>
      <c r="Q114" t="s">
        <v>80</v>
      </c>
      <c r="R114" t="s">
        <v>81</v>
      </c>
      <c r="S114" t="s">
        <v>82</v>
      </c>
      <c r="T114">
        <v>7</v>
      </c>
      <c r="U114">
        <v>1</v>
      </c>
      <c r="V114" s="6">
        <v>113.48</v>
      </c>
      <c r="W114" s="6">
        <v>4412.62</v>
      </c>
      <c r="X114" t="s">
        <v>94</v>
      </c>
      <c r="Y114" s="7">
        <f t="shared" si="7"/>
        <v>3.7568306010928962E-2</v>
      </c>
      <c r="Z114" s="7">
        <f t="shared" si="8"/>
        <v>0.89890710382513661</v>
      </c>
      <c r="AA114">
        <f t="shared" si="9"/>
        <v>46</v>
      </c>
      <c r="AB114" s="8">
        <f t="shared" si="10"/>
        <v>6241.4000000000005</v>
      </c>
      <c r="AC114">
        <f t="shared" si="11"/>
        <v>47.1</v>
      </c>
      <c r="AD114" t="str">
        <f t="shared" si="12"/>
        <v>Medium</v>
      </c>
      <c r="AE114" t="str">
        <f t="shared" si="13"/>
        <v>No</v>
      </c>
    </row>
    <row r="115" spans="1:31" x14ac:dyDescent="0.35">
      <c r="A115" t="s">
        <v>216</v>
      </c>
      <c r="B115" s="5">
        <v>46076</v>
      </c>
      <c r="C115" t="s">
        <v>162</v>
      </c>
      <c r="D115" t="s">
        <v>25</v>
      </c>
      <c r="E115" t="s">
        <v>89</v>
      </c>
      <c r="F115" t="s">
        <v>27</v>
      </c>
      <c r="G115" t="s">
        <v>79</v>
      </c>
      <c r="H115" t="s">
        <v>36</v>
      </c>
      <c r="I115" t="s">
        <v>44</v>
      </c>
      <c r="J115">
        <v>1519</v>
      </c>
      <c r="K115">
        <v>1523</v>
      </c>
      <c r="L115">
        <v>44</v>
      </c>
      <c r="M115">
        <v>30</v>
      </c>
      <c r="N115">
        <v>1411</v>
      </c>
      <c r="O115">
        <v>43.3</v>
      </c>
      <c r="P115">
        <v>7.5</v>
      </c>
      <c r="Q115" t="s">
        <v>80</v>
      </c>
      <c r="R115" t="s">
        <v>81</v>
      </c>
      <c r="S115" t="s">
        <v>82</v>
      </c>
      <c r="T115">
        <v>8</v>
      </c>
      <c r="U115">
        <v>3</v>
      </c>
      <c r="V115" s="6">
        <v>343.87</v>
      </c>
      <c r="W115" s="6">
        <v>8823.73</v>
      </c>
      <c r="X115" t="s">
        <v>87</v>
      </c>
      <c r="Y115" s="7">
        <f t="shared" si="7"/>
        <v>2.8890347997373604E-2</v>
      </c>
      <c r="Z115" s="7">
        <f t="shared" si="8"/>
        <v>0.92646093237032179</v>
      </c>
      <c r="AA115">
        <f t="shared" si="9"/>
        <v>-4</v>
      </c>
      <c r="AB115" s="8">
        <f t="shared" si="10"/>
        <v>15130.28</v>
      </c>
      <c r="AC115">
        <f t="shared" si="11"/>
        <v>41.9</v>
      </c>
      <c r="AD115" t="str">
        <f t="shared" si="12"/>
        <v>Medium</v>
      </c>
      <c r="AE115" t="str">
        <f t="shared" si="13"/>
        <v>No</v>
      </c>
    </row>
    <row r="116" spans="1:31" x14ac:dyDescent="0.35">
      <c r="A116" t="s">
        <v>217</v>
      </c>
      <c r="B116" s="5">
        <v>46076</v>
      </c>
      <c r="C116" t="s">
        <v>162</v>
      </c>
      <c r="D116" t="s">
        <v>24</v>
      </c>
      <c r="E116" t="s">
        <v>78</v>
      </c>
      <c r="F116" t="s">
        <v>27</v>
      </c>
      <c r="G116" t="s">
        <v>85</v>
      </c>
      <c r="H116" t="s">
        <v>37</v>
      </c>
      <c r="I116" t="s">
        <v>48</v>
      </c>
      <c r="J116">
        <v>1217</v>
      </c>
      <c r="K116">
        <v>1268</v>
      </c>
      <c r="L116">
        <v>72</v>
      </c>
      <c r="M116">
        <v>41</v>
      </c>
      <c r="N116">
        <v>1185</v>
      </c>
      <c r="O116">
        <v>21.6</v>
      </c>
      <c r="P116">
        <v>0.3</v>
      </c>
      <c r="Q116" t="s">
        <v>80</v>
      </c>
      <c r="R116" t="s">
        <v>81</v>
      </c>
      <c r="S116" t="s">
        <v>82</v>
      </c>
      <c r="T116">
        <v>13</v>
      </c>
      <c r="U116">
        <v>6</v>
      </c>
      <c r="V116" s="6">
        <v>264.57</v>
      </c>
      <c r="W116" s="6">
        <v>10481.74</v>
      </c>
      <c r="X116" t="s">
        <v>94</v>
      </c>
      <c r="Y116" s="7">
        <f t="shared" si="7"/>
        <v>5.6782334384858045E-2</v>
      </c>
      <c r="Z116" s="7">
        <f t="shared" si="8"/>
        <v>0.93454258675078861</v>
      </c>
      <c r="AA116">
        <f t="shared" si="9"/>
        <v>-51</v>
      </c>
      <c r="AB116" s="8">
        <f t="shared" si="10"/>
        <v>19049.04</v>
      </c>
      <c r="AC116">
        <f t="shared" si="11"/>
        <v>60.1</v>
      </c>
      <c r="AD116" t="str">
        <f t="shared" si="12"/>
        <v>Medium</v>
      </c>
      <c r="AE116" t="str">
        <f t="shared" si="13"/>
        <v>No</v>
      </c>
    </row>
    <row r="117" spans="1:31" x14ac:dyDescent="0.35">
      <c r="A117" t="s">
        <v>218</v>
      </c>
      <c r="B117" s="5">
        <v>46076</v>
      </c>
      <c r="C117" t="s">
        <v>162</v>
      </c>
      <c r="D117" t="s">
        <v>22</v>
      </c>
      <c r="E117" t="s">
        <v>93</v>
      </c>
      <c r="F117" t="s">
        <v>32</v>
      </c>
      <c r="G117" t="s">
        <v>90</v>
      </c>
      <c r="H117" t="s">
        <v>37</v>
      </c>
      <c r="I117" t="s">
        <v>44</v>
      </c>
      <c r="J117">
        <v>1282</v>
      </c>
      <c r="K117">
        <v>1250</v>
      </c>
      <c r="L117">
        <v>24</v>
      </c>
      <c r="M117">
        <v>12</v>
      </c>
      <c r="N117">
        <v>1192</v>
      </c>
      <c r="O117">
        <v>43.2</v>
      </c>
      <c r="P117">
        <v>7.7</v>
      </c>
      <c r="Q117" t="s">
        <v>80</v>
      </c>
      <c r="R117" t="s">
        <v>81</v>
      </c>
      <c r="S117" t="s">
        <v>82</v>
      </c>
      <c r="T117">
        <v>6</v>
      </c>
      <c r="U117">
        <v>3</v>
      </c>
      <c r="V117" s="6">
        <v>301.05</v>
      </c>
      <c r="W117" s="6">
        <v>4041.88</v>
      </c>
      <c r="X117" t="s">
        <v>94</v>
      </c>
      <c r="Y117" s="7">
        <f t="shared" si="7"/>
        <v>1.9199999999999998E-2</v>
      </c>
      <c r="Z117" s="7">
        <f t="shared" si="8"/>
        <v>0.9536</v>
      </c>
      <c r="AA117">
        <f t="shared" si="9"/>
        <v>32</v>
      </c>
      <c r="AB117" s="8">
        <f t="shared" si="10"/>
        <v>7225.2000000000007</v>
      </c>
      <c r="AC117">
        <f t="shared" si="11"/>
        <v>31.3</v>
      </c>
      <c r="AD117" t="str">
        <f t="shared" si="12"/>
        <v>Low</v>
      </c>
      <c r="AE117" t="str">
        <f t="shared" si="13"/>
        <v>No</v>
      </c>
    </row>
    <row r="118" spans="1:31" x14ac:dyDescent="0.35">
      <c r="A118" t="s">
        <v>219</v>
      </c>
      <c r="B118" s="5">
        <v>46076</v>
      </c>
      <c r="C118" t="s">
        <v>162</v>
      </c>
      <c r="D118" t="s">
        <v>25</v>
      </c>
      <c r="E118" t="s">
        <v>89</v>
      </c>
      <c r="F118" t="s">
        <v>32</v>
      </c>
      <c r="G118" t="s">
        <v>85</v>
      </c>
      <c r="H118" t="s">
        <v>39</v>
      </c>
      <c r="I118" t="s">
        <v>42</v>
      </c>
      <c r="J118">
        <v>1549</v>
      </c>
      <c r="K118">
        <v>1426</v>
      </c>
      <c r="L118">
        <v>27</v>
      </c>
      <c r="M118">
        <v>15</v>
      </c>
      <c r="N118">
        <v>1344</v>
      </c>
      <c r="O118">
        <v>35.700000000000003</v>
      </c>
      <c r="P118">
        <v>16.8</v>
      </c>
      <c r="Q118" t="s">
        <v>80</v>
      </c>
      <c r="R118" t="s">
        <v>81</v>
      </c>
      <c r="S118" t="s">
        <v>82</v>
      </c>
      <c r="T118">
        <v>9</v>
      </c>
      <c r="U118">
        <v>3</v>
      </c>
      <c r="V118" s="6">
        <v>121.36</v>
      </c>
      <c r="W118" s="6">
        <v>1875.97</v>
      </c>
      <c r="X118" t="s">
        <v>115</v>
      </c>
      <c r="Y118" s="7">
        <f t="shared" si="7"/>
        <v>1.8934081346423562E-2</v>
      </c>
      <c r="Z118" s="7">
        <f t="shared" si="8"/>
        <v>0.94249649368863953</v>
      </c>
      <c r="AA118">
        <f t="shared" si="9"/>
        <v>123</v>
      </c>
      <c r="AB118" s="8">
        <f t="shared" si="10"/>
        <v>3276.72</v>
      </c>
      <c r="AC118">
        <f t="shared" si="11"/>
        <v>43.4</v>
      </c>
      <c r="AD118" t="str">
        <f t="shared" si="12"/>
        <v>Medium</v>
      </c>
      <c r="AE118" t="str">
        <f t="shared" si="13"/>
        <v>No</v>
      </c>
    </row>
    <row r="119" spans="1:31" x14ac:dyDescent="0.35">
      <c r="A119" t="s">
        <v>220</v>
      </c>
      <c r="B119" s="5">
        <v>46076</v>
      </c>
      <c r="C119" t="s">
        <v>162</v>
      </c>
      <c r="D119" t="s">
        <v>22</v>
      </c>
      <c r="E119" t="s">
        <v>93</v>
      </c>
      <c r="F119" t="s">
        <v>30</v>
      </c>
      <c r="G119" t="s">
        <v>79</v>
      </c>
      <c r="H119" t="s">
        <v>37</v>
      </c>
      <c r="I119" t="s">
        <v>48</v>
      </c>
      <c r="J119">
        <v>1261</v>
      </c>
      <c r="K119">
        <v>1273</v>
      </c>
      <c r="L119">
        <v>51</v>
      </c>
      <c r="M119">
        <v>32</v>
      </c>
      <c r="N119">
        <v>1175</v>
      </c>
      <c r="O119">
        <v>54.7</v>
      </c>
      <c r="P119">
        <v>1.3</v>
      </c>
      <c r="Q119" t="s">
        <v>80</v>
      </c>
      <c r="R119" t="s">
        <v>81</v>
      </c>
      <c r="S119" t="s">
        <v>82</v>
      </c>
      <c r="T119">
        <v>4</v>
      </c>
      <c r="U119">
        <v>5</v>
      </c>
      <c r="V119" s="6">
        <v>124.6</v>
      </c>
      <c r="W119" s="6">
        <v>2782.64</v>
      </c>
      <c r="X119" t="s">
        <v>94</v>
      </c>
      <c r="Y119" s="7">
        <f t="shared" si="7"/>
        <v>4.006284367635507E-2</v>
      </c>
      <c r="Z119" s="7">
        <f t="shared" si="8"/>
        <v>0.92301649646504325</v>
      </c>
      <c r="AA119">
        <f t="shared" si="9"/>
        <v>-12</v>
      </c>
      <c r="AB119" s="8">
        <f t="shared" si="10"/>
        <v>6354.5999999999995</v>
      </c>
      <c r="AC119">
        <f t="shared" si="11"/>
        <v>45.2</v>
      </c>
      <c r="AD119" t="str">
        <f t="shared" si="12"/>
        <v>Medium</v>
      </c>
      <c r="AE119" t="str">
        <f t="shared" si="13"/>
        <v>No</v>
      </c>
    </row>
    <row r="120" spans="1:31" x14ac:dyDescent="0.35">
      <c r="A120" t="s">
        <v>221</v>
      </c>
      <c r="B120" s="5">
        <v>46076</v>
      </c>
      <c r="C120" t="s">
        <v>162</v>
      </c>
      <c r="D120" t="s">
        <v>24</v>
      </c>
      <c r="E120" t="s">
        <v>78</v>
      </c>
      <c r="F120" t="s">
        <v>32</v>
      </c>
      <c r="G120" t="s">
        <v>90</v>
      </c>
      <c r="H120" t="s">
        <v>38</v>
      </c>
      <c r="I120" t="s">
        <v>45</v>
      </c>
      <c r="J120">
        <v>1481</v>
      </c>
      <c r="K120">
        <v>1581</v>
      </c>
      <c r="L120">
        <v>77</v>
      </c>
      <c r="M120">
        <v>36</v>
      </c>
      <c r="N120">
        <v>1488</v>
      </c>
      <c r="O120">
        <v>43.2</v>
      </c>
      <c r="P120">
        <v>5.5</v>
      </c>
      <c r="Q120" t="s">
        <v>80</v>
      </c>
      <c r="R120" t="s">
        <v>81</v>
      </c>
      <c r="S120" t="s">
        <v>82</v>
      </c>
      <c r="T120">
        <v>17</v>
      </c>
      <c r="U120">
        <v>6</v>
      </c>
      <c r="V120" s="6">
        <v>182.99</v>
      </c>
      <c r="W120" s="6">
        <v>9128.33</v>
      </c>
      <c r="X120" t="s">
        <v>94</v>
      </c>
      <c r="Y120" s="7">
        <f t="shared" si="7"/>
        <v>4.8703352308665404E-2</v>
      </c>
      <c r="Z120" s="7">
        <f t="shared" si="8"/>
        <v>0.94117647058823528</v>
      </c>
      <c r="AA120">
        <f t="shared" si="9"/>
        <v>-100</v>
      </c>
      <c r="AB120" s="8">
        <f t="shared" si="10"/>
        <v>14090.230000000001</v>
      </c>
      <c r="AC120">
        <f t="shared" si="11"/>
        <v>58.5</v>
      </c>
      <c r="AD120" t="str">
        <f t="shared" si="12"/>
        <v>Medium</v>
      </c>
      <c r="AE120" t="str">
        <f t="shared" si="13"/>
        <v>No</v>
      </c>
    </row>
    <row r="121" spans="1:31" x14ac:dyDescent="0.35">
      <c r="A121" t="s">
        <v>222</v>
      </c>
      <c r="B121" s="5">
        <v>46076</v>
      </c>
      <c r="C121" t="s">
        <v>162</v>
      </c>
      <c r="D121" t="s">
        <v>22</v>
      </c>
      <c r="E121" t="s">
        <v>93</v>
      </c>
      <c r="F121" t="s">
        <v>32</v>
      </c>
      <c r="G121" t="s">
        <v>85</v>
      </c>
      <c r="H121" t="s">
        <v>37</v>
      </c>
      <c r="I121" t="s">
        <v>47</v>
      </c>
      <c r="J121">
        <v>832</v>
      </c>
      <c r="K121">
        <v>765</v>
      </c>
      <c r="L121">
        <v>7</v>
      </c>
      <c r="M121">
        <v>5</v>
      </c>
      <c r="N121">
        <v>682</v>
      </c>
      <c r="O121">
        <v>52.9</v>
      </c>
      <c r="P121">
        <v>14.2</v>
      </c>
      <c r="Q121" t="s">
        <v>80</v>
      </c>
      <c r="R121" t="s">
        <v>81</v>
      </c>
      <c r="S121" t="s">
        <v>82</v>
      </c>
      <c r="T121">
        <v>1</v>
      </c>
      <c r="U121">
        <v>5</v>
      </c>
      <c r="V121" s="6">
        <v>77.510000000000005</v>
      </c>
      <c r="W121" s="6">
        <v>188.73</v>
      </c>
      <c r="X121" t="s">
        <v>94</v>
      </c>
      <c r="Y121" s="7">
        <f t="shared" si="7"/>
        <v>9.1503267973856214E-3</v>
      </c>
      <c r="Z121" s="7">
        <f t="shared" si="8"/>
        <v>0.89150326797385626</v>
      </c>
      <c r="AA121">
        <f t="shared" si="9"/>
        <v>67</v>
      </c>
      <c r="AB121" s="8">
        <f t="shared" si="10"/>
        <v>542.57000000000005</v>
      </c>
      <c r="AC121">
        <f t="shared" si="11"/>
        <v>32.5</v>
      </c>
      <c r="AD121" t="str">
        <f t="shared" si="12"/>
        <v>Low</v>
      </c>
      <c r="AE121" t="str">
        <f t="shared" si="13"/>
        <v>No</v>
      </c>
    </row>
    <row r="122" spans="1:31" x14ac:dyDescent="0.35">
      <c r="A122" t="s">
        <v>223</v>
      </c>
      <c r="B122" s="5">
        <v>46083</v>
      </c>
      <c r="C122" t="s">
        <v>224</v>
      </c>
      <c r="D122" t="s">
        <v>20</v>
      </c>
      <c r="E122" t="s">
        <v>78</v>
      </c>
      <c r="F122" t="s">
        <v>32</v>
      </c>
      <c r="G122" t="s">
        <v>85</v>
      </c>
      <c r="H122" t="s">
        <v>34</v>
      </c>
      <c r="I122" t="s">
        <v>48</v>
      </c>
      <c r="J122">
        <v>967</v>
      </c>
      <c r="K122">
        <v>1017</v>
      </c>
      <c r="L122">
        <v>32</v>
      </c>
      <c r="M122">
        <v>15</v>
      </c>
      <c r="N122">
        <v>917</v>
      </c>
      <c r="O122">
        <v>36.200000000000003</v>
      </c>
      <c r="P122">
        <v>12.3</v>
      </c>
      <c r="Q122" t="s">
        <v>80</v>
      </c>
      <c r="R122" t="s">
        <v>81</v>
      </c>
      <c r="S122" t="s">
        <v>82</v>
      </c>
      <c r="T122">
        <v>4</v>
      </c>
      <c r="U122">
        <v>0</v>
      </c>
      <c r="V122" s="6">
        <v>431.72</v>
      </c>
      <c r="W122" s="6">
        <v>9185.67</v>
      </c>
      <c r="X122" t="s">
        <v>94</v>
      </c>
      <c r="Y122" s="7">
        <f t="shared" si="7"/>
        <v>3.1465093411996069E-2</v>
      </c>
      <c r="Z122" s="7">
        <f t="shared" si="8"/>
        <v>0.90167158308751227</v>
      </c>
      <c r="AA122">
        <f t="shared" si="9"/>
        <v>-50</v>
      </c>
      <c r="AB122" s="8">
        <f t="shared" si="10"/>
        <v>13815.04</v>
      </c>
      <c r="AC122">
        <f t="shared" si="11"/>
        <v>51.9</v>
      </c>
      <c r="AD122" t="str">
        <f t="shared" si="12"/>
        <v>Medium</v>
      </c>
      <c r="AE122" t="str">
        <f t="shared" si="13"/>
        <v>No</v>
      </c>
    </row>
    <row r="123" spans="1:31" x14ac:dyDescent="0.35">
      <c r="A123" t="s">
        <v>225</v>
      </c>
      <c r="B123" s="5">
        <v>46083</v>
      </c>
      <c r="C123" t="s">
        <v>224</v>
      </c>
      <c r="D123" t="s">
        <v>20</v>
      </c>
      <c r="E123" t="s">
        <v>78</v>
      </c>
      <c r="F123" t="s">
        <v>31</v>
      </c>
      <c r="G123" t="s">
        <v>79</v>
      </c>
      <c r="H123" t="s">
        <v>40</v>
      </c>
      <c r="I123" t="s">
        <v>46</v>
      </c>
      <c r="J123">
        <v>1009</v>
      </c>
      <c r="K123">
        <v>970</v>
      </c>
      <c r="L123">
        <v>26</v>
      </c>
      <c r="M123">
        <v>12</v>
      </c>
      <c r="N123">
        <v>856</v>
      </c>
      <c r="O123">
        <v>60.6</v>
      </c>
      <c r="P123">
        <v>4.7</v>
      </c>
      <c r="Q123" t="s">
        <v>80</v>
      </c>
      <c r="R123" t="s">
        <v>81</v>
      </c>
      <c r="S123" t="s">
        <v>82</v>
      </c>
      <c r="T123">
        <v>6</v>
      </c>
      <c r="U123">
        <v>1</v>
      </c>
      <c r="V123" s="6">
        <v>339.45</v>
      </c>
      <c r="W123" s="6">
        <v>3845.51</v>
      </c>
      <c r="X123" t="s">
        <v>94</v>
      </c>
      <c r="Y123" s="7">
        <f t="shared" si="7"/>
        <v>2.6804123711340205E-2</v>
      </c>
      <c r="Z123" s="7">
        <f t="shared" si="8"/>
        <v>0.88247422680412368</v>
      </c>
      <c r="AA123">
        <f t="shared" si="9"/>
        <v>39</v>
      </c>
      <c r="AB123" s="8">
        <f t="shared" si="10"/>
        <v>8825.6999999999989</v>
      </c>
      <c r="AC123">
        <f t="shared" si="11"/>
        <v>38.200000000000003</v>
      </c>
      <c r="AD123" t="str">
        <f t="shared" si="12"/>
        <v>Low</v>
      </c>
      <c r="AE123" t="str">
        <f t="shared" si="13"/>
        <v>No</v>
      </c>
    </row>
    <row r="124" spans="1:31" x14ac:dyDescent="0.35">
      <c r="A124" t="s">
        <v>226</v>
      </c>
      <c r="B124" s="5">
        <v>46083</v>
      </c>
      <c r="C124" t="s">
        <v>224</v>
      </c>
      <c r="D124" t="s">
        <v>24</v>
      </c>
      <c r="E124" t="s">
        <v>78</v>
      </c>
      <c r="F124" t="s">
        <v>29</v>
      </c>
      <c r="G124" t="s">
        <v>79</v>
      </c>
      <c r="H124" t="s">
        <v>34</v>
      </c>
      <c r="I124" t="s">
        <v>48</v>
      </c>
      <c r="J124">
        <v>1258</v>
      </c>
      <c r="K124">
        <v>1201</v>
      </c>
      <c r="L124">
        <v>31</v>
      </c>
      <c r="M124">
        <v>14</v>
      </c>
      <c r="N124">
        <v>1104</v>
      </c>
      <c r="O124">
        <v>29.9</v>
      </c>
      <c r="P124">
        <v>11.2</v>
      </c>
      <c r="Q124" t="s">
        <v>80</v>
      </c>
      <c r="R124" t="s">
        <v>81</v>
      </c>
      <c r="S124" t="s">
        <v>82</v>
      </c>
      <c r="T124">
        <v>0</v>
      </c>
      <c r="U124">
        <v>5</v>
      </c>
      <c r="V124" s="6">
        <v>137.16</v>
      </c>
      <c r="W124" s="6">
        <v>1841.8</v>
      </c>
      <c r="X124" t="s">
        <v>115</v>
      </c>
      <c r="Y124" s="7">
        <f t="shared" si="7"/>
        <v>2.5811823480432972E-2</v>
      </c>
      <c r="Z124" s="7">
        <f t="shared" si="8"/>
        <v>0.91923397169025811</v>
      </c>
      <c r="AA124">
        <f t="shared" si="9"/>
        <v>57</v>
      </c>
      <c r="AB124" s="8">
        <f t="shared" si="10"/>
        <v>4251.96</v>
      </c>
      <c r="AC124">
        <f t="shared" si="11"/>
        <v>44</v>
      </c>
      <c r="AD124" t="str">
        <f t="shared" si="12"/>
        <v>Medium</v>
      </c>
      <c r="AE124" t="str">
        <f t="shared" si="13"/>
        <v>No</v>
      </c>
    </row>
    <row r="125" spans="1:31" x14ac:dyDescent="0.35">
      <c r="A125" t="s">
        <v>227</v>
      </c>
      <c r="B125" s="5">
        <v>46083</v>
      </c>
      <c r="C125" t="s">
        <v>224</v>
      </c>
      <c r="D125" t="s">
        <v>25</v>
      </c>
      <c r="E125" t="s">
        <v>89</v>
      </c>
      <c r="F125" t="s">
        <v>27</v>
      </c>
      <c r="G125" t="s">
        <v>85</v>
      </c>
      <c r="H125" t="s">
        <v>39</v>
      </c>
      <c r="I125" t="s">
        <v>44</v>
      </c>
      <c r="J125">
        <v>969</v>
      </c>
      <c r="K125">
        <v>973</v>
      </c>
      <c r="L125">
        <v>20</v>
      </c>
      <c r="M125">
        <v>16</v>
      </c>
      <c r="N125">
        <v>869</v>
      </c>
      <c r="O125">
        <v>28.2</v>
      </c>
      <c r="P125">
        <v>5.0999999999999996</v>
      </c>
      <c r="Q125" t="s">
        <v>80</v>
      </c>
      <c r="R125" t="s">
        <v>81</v>
      </c>
      <c r="S125" t="s">
        <v>82</v>
      </c>
      <c r="T125">
        <v>6</v>
      </c>
      <c r="U125">
        <v>3</v>
      </c>
      <c r="V125" s="6">
        <v>295.37</v>
      </c>
      <c r="W125" s="6">
        <v>2701.98</v>
      </c>
      <c r="X125" t="s">
        <v>115</v>
      </c>
      <c r="Y125" s="7">
        <f t="shared" si="7"/>
        <v>2.0554984583761562E-2</v>
      </c>
      <c r="Z125" s="7">
        <f t="shared" si="8"/>
        <v>0.89311408016443983</v>
      </c>
      <c r="AA125">
        <f t="shared" si="9"/>
        <v>-4</v>
      </c>
      <c r="AB125" s="8">
        <f t="shared" si="10"/>
        <v>5907.4</v>
      </c>
      <c r="AC125">
        <f t="shared" si="11"/>
        <v>32</v>
      </c>
      <c r="AD125" t="str">
        <f t="shared" si="12"/>
        <v>Low</v>
      </c>
      <c r="AE125" t="str">
        <f t="shared" si="13"/>
        <v>No</v>
      </c>
    </row>
    <row r="126" spans="1:31" x14ac:dyDescent="0.35">
      <c r="A126" t="s">
        <v>228</v>
      </c>
      <c r="B126" s="5">
        <v>46083</v>
      </c>
      <c r="C126" t="s">
        <v>224</v>
      </c>
      <c r="D126" t="s">
        <v>20</v>
      </c>
      <c r="E126" t="s">
        <v>78</v>
      </c>
      <c r="F126" t="s">
        <v>29</v>
      </c>
      <c r="G126" t="s">
        <v>85</v>
      </c>
      <c r="H126" t="s">
        <v>37</v>
      </c>
      <c r="I126" t="s">
        <v>46</v>
      </c>
      <c r="J126">
        <v>1139</v>
      </c>
      <c r="K126">
        <v>1182</v>
      </c>
      <c r="L126">
        <v>25</v>
      </c>
      <c r="M126">
        <v>15</v>
      </c>
      <c r="N126">
        <v>1137</v>
      </c>
      <c r="O126">
        <v>43.6</v>
      </c>
      <c r="P126">
        <v>12.1</v>
      </c>
      <c r="Q126" t="s">
        <v>80</v>
      </c>
      <c r="R126" t="s">
        <v>81</v>
      </c>
      <c r="S126" t="s">
        <v>82</v>
      </c>
      <c r="T126">
        <v>0</v>
      </c>
      <c r="U126">
        <v>5</v>
      </c>
      <c r="V126" s="6">
        <v>411.13</v>
      </c>
      <c r="W126" s="6">
        <v>5470.29</v>
      </c>
      <c r="X126" t="s">
        <v>94</v>
      </c>
      <c r="Y126" s="7">
        <f t="shared" si="7"/>
        <v>2.1150592216582064E-2</v>
      </c>
      <c r="Z126" s="7">
        <f t="shared" si="8"/>
        <v>0.96192893401015234</v>
      </c>
      <c r="AA126">
        <f t="shared" si="9"/>
        <v>-43</v>
      </c>
      <c r="AB126" s="8">
        <f t="shared" si="10"/>
        <v>10278.25</v>
      </c>
      <c r="AC126">
        <f t="shared" si="11"/>
        <v>38.6</v>
      </c>
      <c r="AD126" t="str">
        <f t="shared" si="12"/>
        <v>Low</v>
      </c>
      <c r="AE126" t="str">
        <f t="shared" si="13"/>
        <v>No</v>
      </c>
    </row>
    <row r="127" spans="1:31" x14ac:dyDescent="0.35">
      <c r="A127" t="s">
        <v>229</v>
      </c>
      <c r="B127" s="5">
        <v>46083</v>
      </c>
      <c r="C127" t="s">
        <v>224</v>
      </c>
      <c r="D127" t="s">
        <v>25</v>
      </c>
      <c r="E127" t="s">
        <v>89</v>
      </c>
      <c r="F127" t="s">
        <v>32</v>
      </c>
      <c r="G127" t="s">
        <v>90</v>
      </c>
      <c r="H127" t="s">
        <v>36</v>
      </c>
      <c r="I127" t="s">
        <v>47</v>
      </c>
      <c r="J127">
        <v>1528</v>
      </c>
      <c r="K127">
        <v>1572</v>
      </c>
      <c r="L127">
        <v>35</v>
      </c>
      <c r="M127">
        <v>28</v>
      </c>
      <c r="N127">
        <v>1464</v>
      </c>
      <c r="O127">
        <v>50.7</v>
      </c>
      <c r="P127">
        <v>3.4</v>
      </c>
      <c r="Q127" t="s">
        <v>80</v>
      </c>
      <c r="R127" t="s">
        <v>81</v>
      </c>
      <c r="S127" t="s">
        <v>100</v>
      </c>
      <c r="T127">
        <v>5</v>
      </c>
      <c r="U127">
        <v>1</v>
      </c>
      <c r="V127" s="6">
        <v>171.35</v>
      </c>
      <c r="W127" s="6">
        <v>3957.1</v>
      </c>
      <c r="X127" t="s">
        <v>94</v>
      </c>
      <c r="Y127" s="7">
        <f t="shared" si="7"/>
        <v>2.2264631043256999E-2</v>
      </c>
      <c r="Z127" s="7">
        <f t="shared" si="8"/>
        <v>0.93129770992366412</v>
      </c>
      <c r="AA127">
        <f t="shared" si="9"/>
        <v>-44</v>
      </c>
      <c r="AB127" s="8">
        <f t="shared" si="10"/>
        <v>5997.25</v>
      </c>
      <c r="AC127">
        <f t="shared" si="11"/>
        <v>29.8</v>
      </c>
      <c r="AD127" t="str">
        <f t="shared" si="12"/>
        <v>Low</v>
      </c>
      <c r="AE127" t="str">
        <f t="shared" si="13"/>
        <v>No</v>
      </c>
    </row>
    <row r="128" spans="1:31" x14ac:dyDescent="0.35">
      <c r="A128" t="s">
        <v>230</v>
      </c>
      <c r="B128" s="5">
        <v>46083</v>
      </c>
      <c r="C128" t="s">
        <v>224</v>
      </c>
      <c r="D128" t="s">
        <v>22</v>
      </c>
      <c r="E128" t="s">
        <v>93</v>
      </c>
      <c r="F128" t="s">
        <v>31</v>
      </c>
      <c r="G128" t="s">
        <v>90</v>
      </c>
      <c r="H128" t="s">
        <v>39</v>
      </c>
      <c r="I128" t="s">
        <v>42</v>
      </c>
      <c r="J128">
        <v>1464</v>
      </c>
      <c r="K128">
        <v>1395</v>
      </c>
      <c r="L128">
        <v>30</v>
      </c>
      <c r="M128">
        <v>18</v>
      </c>
      <c r="N128">
        <v>1298</v>
      </c>
      <c r="O128">
        <v>55</v>
      </c>
      <c r="P128">
        <v>8.3000000000000007</v>
      </c>
      <c r="Q128" t="s">
        <v>80</v>
      </c>
      <c r="R128" t="s">
        <v>81</v>
      </c>
      <c r="S128" t="s">
        <v>82</v>
      </c>
      <c r="T128">
        <v>9</v>
      </c>
      <c r="U128">
        <v>3</v>
      </c>
      <c r="V128" s="6">
        <v>298.37</v>
      </c>
      <c r="W128" s="6">
        <v>5984.28</v>
      </c>
      <c r="X128" t="s">
        <v>110</v>
      </c>
      <c r="Y128" s="7">
        <f t="shared" si="7"/>
        <v>2.1505376344086023E-2</v>
      </c>
      <c r="Z128" s="7">
        <f t="shared" si="8"/>
        <v>0.93046594982078856</v>
      </c>
      <c r="AA128">
        <f t="shared" si="9"/>
        <v>69</v>
      </c>
      <c r="AB128" s="8">
        <f t="shared" si="10"/>
        <v>8951.1</v>
      </c>
      <c r="AC128">
        <f t="shared" si="11"/>
        <v>35.4</v>
      </c>
      <c r="AD128" t="str">
        <f t="shared" si="12"/>
        <v>Low</v>
      </c>
      <c r="AE128" t="str">
        <f t="shared" si="13"/>
        <v>No</v>
      </c>
    </row>
    <row r="129" spans="1:31" x14ac:dyDescent="0.35">
      <c r="A129" t="s">
        <v>231</v>
      </c>
      <c r="B129" s="5">
        <v>46083</v>
      </c>
      <c r="C129" t="s">
        <v>224</v>
      </c>
      <c r="D129" t="s">
        <v>24</v>
      </c>
      <c r="E129" t="s">
        <v>78</v>
      </c>
      <c r="F129" t="s">
        <v>29</v>
      </c>
      <c r="G129" t="s">
        <v>79</v>
      </c>
      <c r="H129" t="s">
        <v>40</v>
      </c>
      <c r="I129" t="s">
        <v>45</v>
      </c>
      <c r="J129">
        <v>917</v>
      </c>
      <c r="K129">
        <v>988</v>
      </c>
      <c r="L129">
        <v>36</v>
      </c>
      <c r="M129">
        <v>12</v>
      </c>
      <c r="N129">
        <v>960</v>
      </c>
      <c r="O129">
        <v>41.5</v>
      </c>
      <c r="P129">
        <v>7.3</v>
      </c>
      <c r="Q129" t="s">
        <v>80</v>
      </c>
      <c r="R129" t="s">
        <v>81</v>
      </c>
      <c r="S129" t="s">
        <v>82</v>
      </c>
      <c r="T129">
        <v>5</v>
      </c>
      <c r="U129">
        <v>1</v>
      </c>
      <c r="V129" s="6">
        <v>223.32</v>
      </c>
      <c r="W129" s="6">
        <v>5750.71</v>
      </c>
      <c r="X129" t="s">
        <v>94</v>
      </c>
      <c r="Y129" s="7">
        <f t="shared" si="7"/>
        <v>3.643724696356275E-2</v>
      </c>
      <c r="Z129" s="7">
        <f t="shared" si="8"/>
        <v>0.97165991902834004</v>
      </c>
      <c r="AA129">
        <f t="shared" si="9"/>
        <v>-71</v>
      </c>
      <c r="AB129" s="8">
        <f t="shared" si="10"/>
        <v>8039.5199999999995</v>
      </c>
      <c r="AC129">
        <f t="shared" si="11"/>
        <v>47.2</v>
      </c>
      <c r="AD129" t="str">
        <f t="shared" si="12"/>
        <v>Medium</v>
      </c>
      <c r="AE129" t="str">
        <f t="shared" si="13"/>
        <v>No</v>
      </c>
    </row>
    <row r="130" spans="1:31" x14ac:dyDescent="0.35">
      <c r="A130" t="s">
        <v>232</v>
      </c>
      <c r="B130" s="5">
        <v>46083</v>
      </c>
      <c r="C130" t="s">
        <v>224</v>
      </c>
      <c r="D130" t="s">
        <v>23</v>
      </c>
      <c r="E130" t="s">
        <v>78</v>
      </c>
      <c r="F130" t="s">
        <v>27</v>
      </c>
      <c r="G130" t="s">
        <v>90</v>
      </c>
      <c r="H130" t="s">
        <v>39</v>
      </c>
      <c r="I130" t="s">
        <v>45</v>
      </c>
      <c r="J130">
        <v>920</v>
      </c>
      <c r="K130">
        <v>831</v>
      </c>
      <c r="L130">
        <v>31</v>
      </c>
      <c r="M130">
        <v>16</v>
      </c>
      <c r="N130">
        <v>776</v>
      </c>
      <c r="O130">
        <v>54.6</v>
      </c>
      <c r="P130">
        <v>11.8</v>
      </c>
      <c r="Q130" t="s">
        <v>80</v>
      </c>
      <c r="R130" t="s">
        <v>81</v>
      </c>
      <c r="S130" t="s">
        <v>82</v>
      </c>
      <c r="T130">
        <v>10</v>
      </c>
      <c r="U130">
        <v>1</v>
      </c>
      <c r="V130" s="6">
        <v>407.86</v>
      </c>
      <c r="W130" s="6">
        <v>6831</v>
      </c>
      <c r="X130" t="s">
        <v>121</v>
      </c>
      <c r="Y130" s="7">
        <f t="shared" ref="Y130:Y193" si="14">IFERROR(L130/K130,0)</f>
        <v>3.7304452466907341E-2</v>
      </c>
      <c r="Z130" s="7">
        <f t="shared" ref="Z130:Z193" si="15">IFERROR(N130/K130,0)</f>
        <v>0.93381468110709986</v>
      </c>
      <c r="AA130">
        <f t="shared" ref="AA130:AA193" si="16">J130-K130</f>
        <v>89</v>
      </c>
      <c r="AB130" s="8">
        <f t="shared" ref="AB130:AB193" si="17">L130*V130</f>
        <v>12643.66</v>
      </c>
      <c r="AC130">
        <f t="shared" ref="AC130:AC193" si="18">ROUND(MIN(100,(Y130*1000)+(1-Z130)*45+(P130*1.3)+IF(Q130="Late",18,IF(Q130="Pending",10,0))+IF(R130="Yes",20,0)+IF(S130="Decision Required",12,0)),1)</f>
        <v>55.6</v>
      </c>
      <c r="AD130" t="str">
        <f t="shared" ref="AD130:AD193" si="19">IF(AC130&gt;=65,"High",IF(AC130&gt;=40,"Medium","Low"))</f>
        <v>Medium</v>
      </c>
      <c r="AE130" t="str">
        <f t="shared" ref="AE130:AE193" si="20">IF(OR(AD130="High",Q130="Late",R130="Yes",S130="Decision Required"),"Yes","No")</f>
        <v>No</v>
      </c>
    </row>
    <row r="131" spans="1:31" x14ac:dyDescent="0.35">
      <c r="A131" t="s">
        <v>233</v>
      </c>
      <c r="B131" s="5">
        <v>46083</v>
      </c>
      <c r="C131" t="s">
        <v>224</v>
      </c>
      <c r="D131" t="s">
        <v>22</v>
      </c>
      <c r="E131" t="s">
        <v>93</v>
      </c>
      <c r="F131" t="s">
        <v>30</v>
      </c>
      <c r="G131" t="s">
        <v>79</v>
      </c>
      <c r="H131" t="s">
        <v>39</v>
      </c>
      <c r="I131" t="s">
        <v>44</v>
      </c>
      <c r="J131">
        <v>1080</v>
      </c>
      <c r="K131">
        <v>1001</v>
      </c>
      <c r="L131">
        <v>18</v>
      </c>
      <c r="M131">
        <v>12</v>
      </c>
      <c r="N131">
        <v>955</v>
      </c>
      <c r="O131">
        <v>48.2</v>
      </c>
      <c r="P131">
        <v>6.1</v>
      </c>
      <c r="Q131" t="s">
        <v>80</v>
      </c>
      <c r="R131" t="s">
        <v>81</v>
      </c>
      <c r="S131" t="s">
        <v>82</v>
      </c>
      <c r="T131">
        <v>7</v>
      </c>
      <c r="U131">
        <v>0</v>
      </c>
      <c r="V131" s="6">
        <v>263.81</v>
      </c>
      <c r="W131" s="6">
        <v>1451.23</v>
      </c>
      <c r="X131" t="s">
        <v>94</v>
      </c>
      <c r="Y131" s="7">
        <f t="shared" si="14"/>
        <v>1.7982017982017984E-2</v>
      </c>
      <c r="Z131" s="7">
        <f t="shared" si="15"/>
        <v>0.95404595404595405</v>
      </c>
      <c r="AA131">
        <f t="shared" si="16"/>
        <v>79</v>
      </c>
      <c r="AB131" s="8">
        <f t="shared" si="17"/>
        <v>4748.58</v>
      </c>
      <c r="AC131">
        <f t="shared" si="18"/>
        <v>28</v>
      </c>
      <c r="AD131" t="str">
        <f t="shared" si="19"/>
        <v>Low</v>
      </c>
      <c r="AE131" t="str">
        <f t="shared" si="20"/>
        <v>No</v>
      </c>
    </row>
    <row r="132" spans="1:31" x14ac:dyDescent="0.35">
      <c r="A132" t="s">
        <v>234</v>
      </c>
      <c r="B132" s="5">
        <v>46083</v>
      </c>
      <c r="C132" t="s">
        <v>224</v>
      </c>
      <c r="D132" t="s">
        <v>24</v>
      </c>
      <c r="E132" t="s">
        <v>78</v>
      </c>
      <c r="F132" t="s">
        <v>30</v>
      </c>
      <c r="G132" t="s">
        <v>85</v>
      </c>
      <c r="H132" t="s">
        <v>39</v>
      </c>
      <c r="I132" t="s">
        <v>48</v>
      </c>
      <c r="J132">
        <v>783</v>
      </c>
      <c r="K132">
        <v>793</v>
      </c>
      <c r="L132">
        <v>30</v>
      </c>
      <c r="M132">
        <v>20</v>
      </c>
      <c r="N132">
        <v>739</v>
      </c>
      <c r="O132">
        <v>42.6</v>
      </c>
      <c r="P132">
        <v>23.1</v>
      </c>
      <c r="Q132" t="s">
        <v>86</v>
      </c>
      <c r="R132" t="s">
        <v>81</v>
      </c>
      <c r="S132" t="s">
        <v>82</v>
      </c>
      <c r="T132">
        <v>11</v>
      </c>
      <c r="U132">
        <v>4</v>
      </c>
      <c r="V132" s="6">
        <v>402.02</v>
      </c>
      <c r="W132" s="6">
        <v>4717.66</v>
      </c>
      <c r="X132" t="s">
        <v>94</v>
      </c>
      <c r="Y132" s="7">
        <f t="shared" si="14"/>
        <v>3.7831021437578813E-2</v>
      </c>
      <c r="Z132" s="7">
        <f t="shared" si="15"/>
        <v>0.9319041614123581</v>
      </c>
      <c r="AA132">
        <f t="shared" si="16"/>
        <v>-10</v>
      </c>
      <c r="AB132" s="8">
        <f t="shared" si="17"/>
        <v>12060.599999999999</v>
      </c>
      <c r="AC132">
        <f t="shared" si="18"/>
        <v>88.9</v>
      </c>
      <c r="AD132" t="str">
        <f t="shared" si="19"/>
        <v>High</v>
      </c>
      <c r="AE132" t="str">
        <f t="shared" si="20"/>
        <v>Yes</v>
      </c>
    </row>
    <row r="133" spans="1:31" x14ac:dyDescent="0.35">
      <c r="A133" t="s">
        <v>235</v>
      </c>
      <c r="B133" s="5">
        <v>46083</v>
      </c>
      <c r="C133" t="s">
        <v>224</v>
      </c>
      <c r="D133" t="s">
        <v>22</v>
      </c>
      <c r="E133" t="s">
        <v>93</v>
      </c>
      <c r="F133" t="s">
        <v>29</v>
      </c>
      <c r="G133" t="s">
        <v>79</v>
      </c>
      <c r="H133" t="s">
        <v>39</v>
      </c>
      <c r="I133" t="s">
        <v>48</v>
      </c>
      <c r="J133">
        <v>979</v>
      </c>
      <c r="K133">
        <v>877</v>
      </c>
      <c r="L133">
        <v>27</v>
      </c>
      <c r="M133">
        <v>10</v>
      </c>
      <c r="N133">
        <v>827</v>
      </c>
      <c r="O133">
        <v>49.1</v>
      </c>
      <c r="P133">
        <v>15.6</v>
      </c>
      <c r="Q133" t="s">
        <v>80</v>
      </c>
      <c r="R133" t="s">
        <v>81</v>
      </c>
      <c r="S133" t="s">
        <v>82</v>
      </c>
      <c r="T133">
        <v>6</v>
      </c>
      <c r="U133">
        <v>5</v>
      </c>
      <c r="V133" s="6">
        <v>139.66999999999999</v>
      </c>
      <c r="W133" s="6">
        <v>1956.73</v>
      </c>
      <c r="X133" t="s">
        <v>87</v>
      </c>
      <c r="Y133" s="7">
        <f t="shared" si="14"/>
        <v>3.0786773090079819E-2</v>
      </c>
      <c r="Z133" s="7">
        <f t="shared" si="15"/>
        <v>0.94298745724059296</v>
      </c>
      <c r="AA133">
        <f t="shared" si="16"/>
        <v>102</v>
      </c>
      <c r="AB133" s="8">
        <f t="shared" si="17"/>
        <v>3771.0899999999997</v>
      </c>
      <c r="AC133">
        <f t="shared" si="18"/>
        <v>53.6</v>
      </c>
      <c r="AD133" t="str">
        <f t="shared" si="19"/>
        <v>Medium</v>
      </c>
      <c r="AE133" t="str">
        <f t="shared" si="20"/>
        <v>No</v>
      </c>
    </row>
    <row r="134" spans="1:31" x14ac:dyDescent="0.35">
      <c r="A134" t="s">
        <v>236</v>
      </c>
      <c r="B134" s="5">
        <v>46083</v>
      </c>
      <c r="C134" t="s">
        <v>224</v>
      </c>
      <c r="D134" t="s">
        <v>24</v>
      </c>
      <c r="E134" t="s">
        <v>78</v>
      </c>
      <c r="F134" t="s">
        <v>30</v>
      </c>
      <c r="G134" t="s">
        <v>85</v>
      </c>
      <c r="H134" t="s">
        <v>36</v>
      </c>
      <c r="I134" t="s">
        <v>44</v>
      </c>
      <c r="J134">
        <v>1050</v>
      </c>
      <c r="K134">
        <v>1097</v>
      </c>
      <c r="L134">
        <v>4</v>
      </c>
      <c r="M134">
        <v>2</v>
      </c>
      <c r="N134">
        <v>1024</v>
      </c>
      <c r="O134">
        <v>28.1</v>
      </c>
      <c r="P134">
        <v>14.2</v>
      </c>
      <c r="Q134" t="s">
        <v>80</v>
      </c>
      <c r="R134" t="s">
        <v>81</v>
      </c>
      <c r="S134" t="s">
        <v>82</v>
      </c>
      <c r="T134">
        <v>0</v>
      </c>
      <c r="U134">
        <v>2</v>
      </c>
      <c r="V134" s="6">
        <v>271.22000000000003</v>
      </c>
      <c r="W134" s="6">
        <v>301.74</v>
      </c>
      <c r="X134" t="s">
        <v>83</v>
      </c>
      <c r="Y134" s="7">
        <f t="shared" si="14"/>
        <v>3.6463081130355514E-3</v>
      </c>
      <c r="Z134" s="7">
        <f t="shared" si="15"/>
        <v>0.93345487693710116</v>
      </c>
      <c r="AA134">
        <f t="shared" si="16"/>
        <v>-47</v>
      </c>
      <c r="AB134" s="8">
        <f t="shared" si="17"/>
        <v>1084.8800000000001</v>
      </c>
      <c r="AC134">
        <f t="shared" si="18"/>
        <v>25.1</v>
      </c>
      <c r="AD134" t="str">
        <f t="shared" si="19"/>
        <v>Low</v>
      </c>
      <c r="AE134" t="str">
        <f t="shared" si="20"/>
        <v>No</v>
      </c>
    </row>
    <row r="135" spans="1:31" x14ac:dyDescent="0.35">
      <c r="A135" t="s">
        <v>237</v>
      </c>
      <c r="B135" s="5">
        <v>46083</v>
      </c>
      <c r="C135" t="s">
        <v>224</v>
      </c>
      <c r="D135" t="s">
        <v>24</v>
      </c>
      <c r="E135" t="s">
        <v>78</v>
      </c>
      <c r="F135" t="s">
        <v>29</v>
      </c>
      <c r="G135" t="s">
        <v>79</v>
      </c>
      <c r="H135" t="s">
        <v>37</v>
      </c>
      <c r="I135" t="s">
        <v>46</v>
      </c>
      <c r="J135">
        <v>1153</v>
      </c>
      <c r="K135">
        <v>1149</v>
      </c>
      <c r="L135">
        <v>21</v>
      </c>
      <c r="M135">
        <v>16</v>
      </c>
      <c r="N135">
        <v>1049</v>
      </c>
      <c r="O135">
        <v>39.700000000000003</v>
      </c>
      <c r="P135">
        <v>11.8</v>
      </c>
      <c r="Q135" t="s">
        <v>96</v>
      </c>
      <c r="R135" t="s">
        <v>81</v>
      </c>
      <c r="S135" t="s">
        <v>82</v>
      </c>
      <c r="T135">
        <v>5</v>
      </c>
      <c r="U135">
        <v>3</v>
      </c>
      <c r="V135" s="6">
        <v>335.31</v>
      </c>
      <c r="W135" s="6">
        <v>4054.33</v>
      </c>
      <c r="X135" t="s">
        <v>94</v>
      </c>
      <c r="Y135" s="7">
        <f t="shared" si="14"/>
        <v>1.8276762402088774E-2</v>
      </c>
      <c r="Z135" s="7">
        <f t="shared" si="15"/>
        <v>0.9129677980852916</v>
      </c>
      <c r="AA135">
        <f t="shared" si="16"/>
        <v>4</v>
      </c>
      <c r="AB135" s="8">
        <f t="shared" si="17"/>
        <v>7041.51</v>
      </c>
      <c r="AC135">
        <f t="shared" si="18"/>
        <v>47.5</v>
      </c>
      <c r="AD135" t="str">
        <f t="shared" si="19"/>
        <v>Medium</v>
      </c>
      <c r="AE135" t="str">
        <f t="shared" si="20"/>
        <v>No</v>
      </c>
    </row>
    <row r="136" spans="1:31" x14ac:dyDescent="0.35">
      <c r="A136" t="s">
        <v>238</v>
      </c>
      <c r="B136" s="5">
        <v>46083</v>
      </c>
      <c r="C136" t="s">
        <v>224</v>
      </c>
      <c r="D136" t="s">
        <v>24</v>
      </c>
      <c r="E136" t="s">
        <v>78</v>
      </c>
      <c r="F136" t="s">
        <v>32</v>
      </c>
      <c r="G136" t="s">
        <v>85</v>
      </c>
      <c r="H136" t="s">
        <v>34</v>
      </c>
      <c r="I136" t="s">
        <v>48</v>
      </c>
      <c r="J136">
        <v>947</v>
      </c>
      <c r="K136">
        <v>1022</v>
      </c>
      <c r="L136">
        <v>33</v>
      </c>
      <c r="M136">
        <v>22</v>
      </c>
      <c r="N136">
        <v>947</v>
      </c>
      <c r="O136">
        <v>24.6</v>
      </c>
      <c r="P136">
        <v>12.2</v>
      </c>
      <c r="Q136" t="s">
        <v>96</v>
      </c>
      <c r="R136" t="s">
        <v>81</v>
      </c>
      <c r="S136" t="s">
        <v>82</v>
      </c>
      <c r="T136">
        <v>6</v>
      </c>
      <c r="U136">
        <v>2</v>
      </c>
      <c r="V136" s="6">
        <v>264.61</v>
      </c>
      <c r="W136" s="6">
        <v>2844.64</v>
      </c>
      <c r="X136" t="s">
        <v>94</v>
      </c>
      <c r="Y136" s="7">
        <f t="shared" si="14"/>
        <v>3.2289628180039137E-2</v>
      </c>
      <c r="Z136" s="7">
        <f t="shared" si="15"/>
        <v>0.92661448140900193</v>
      </c>
      <c r="AA136">
        <f t="shared" si="16"/>
        <v>-75</v>
      </c>
      <c r="AB136" s="8">
        <f t="shared" si="17"/>
        <v>8732.130000000001</v>
      </c>
      <c r="AC136">
        <f t="shared" si="18"/>
        <v>61.5</v>
      </c>
      <c r="AD136" t="str">
        <f t="shared" si="19"/>
        <v>Medium</v>
      </c>
      <c r="AE136" t="str">
        <f t="shared" si="20"/>
        <v>No</v>
      </c>
    </row>
    <row r="137" spans="1:31" x14ac:dyDescent="0.35">
      <c r="A137" t="s">
        <v>239</v>
      </c>
      <c r="B137" s="5">
        <v>46090</v>
      </c>
      <c r="C137" t="s">
        <v>224</v>
      </c>
      <c r="D137" t="s">
        <v>22</v>
      </c>
      <c r="E137" t="s">
        <v>93</v>
      </c>
      <c r="F137" t="s">
        <v>31</v>
      </c>
      <c r="G137" t="s">
        <v>85</v>
      </c>
      <c r="H137" t="s">
        <v>38</v>
      </c>
      <c r="I137" t="s">
        <v>47</v>
      </c>
      <c r="J137">
        <v>1526</v>
      </c>
      <c r="K137">
        <v>1540</v>
      </c>
      <c r="L137">
        <v>18</v>
      </c>
      <c r="M137">
        <v>6</v>
      </c>
      <c r="N137">
        <v>1527</v>
      </c>
      <c r="O137">
        <v>55.6</v>
      </c>
      <c r="P137">
        <v>9.9</v>
      </c>
      <c r="Q137" t="s">
        <v>80</v>
      </c>
      <c r="R137" t="s">
        <v>81</v>
      </c>
      <c r="S137" t="s">
        <v>82</v>
      </c>
      <c r="T137">
        <v>0</v>
      </c>
      <c r="U137">
        <v>2</v>
      </c>
      <c r="V137" s="6">
        <v>286.02999999999997</v>
      </c>
      <c r="W137" s="6">
        <v>1427.71</v>
      </c>
      <c r="X137" t="s">
        <v>110</v>
      </c>
      <c r="Y137" s="7">
        <f t="shared" si="14"/>
        <v>1.1688311688311689E-2</v>
      </c>
      <c r="Z137" s="7">
        <f t="shared" si="15"/>
        <v>0.99155844155844153</v>
      </c>
      <c r="AA137">
        <f t="shared" si="16"/>
        <v>-14</v>
      </c>
      <c r="AB137" s="8">
        <f t="shared" si="17"/>
        <v>5148.5399999999991</v>
      </c>
      <c r="AC137">
        <f t="shared" si="18"/>
        <v>24.9</v>
      </c>
      <c r="AD137" t="str">
        <f t="shared" si="19"/>
        <v>Low</v>
      </c>
      <c r="AE137" t="str">
        <f t="shared" si="20"/>
        <v>No</v>
      </c>
    </row>
    <row r="138" spans="1:31" x14ac:dyDescent="0.35">
      <c r="A138" t="s">
        <v>240</v>
      </c>
      <c r="B138" s="5">
        <v>46090</v>
      </c>
      <c r="C138" t="s">
        <v>224</v>
      </c>
      <c r="D138" t="s">
        <v>20</v>
      </c>
      <c r="E138" t="s">
        <v>78</v>
      </c>
      <c r="F138" t="s">
        <v>30</v>
      </c>
      <c r="G138" t="s">
        <v>79</v>
      </c>
      <c r="H138" t="s">
        <v>39</v>
      </c>
      <c r="I138" t="s">
        <v>45</v>
      </c>
      <c r="J138">
        <v>1058</v>
      </c>
      <c r="K138">
        <v>1029</v>
      </c>
      <c r="L138">
        <v>33</v>
      </c>
      <c r="M138">
        <v>13</v>
      </c>
      <c r="N138">
        <v>929</v>
      </c>
      <c r="O138">
        <v>35.200000000000003</v>
      </c>
      <c r="P138">
        <v>3.9</v>
      </c>
      <c r="Q138" t="s">
        <v>86</v>
      </c>
      <c r="R138" t="s">
        <v>81</v>
      </c>
      <c r="S138" t="s">
        <v>82</v>
      </c>
      <c r="T138">
        <v>8</v>
      </c>
      <c r="U138">
        <v>5</v>
      </c>
      <c r="V138" s="6">
        <v>149.94999999999999</v>
      </c>
      <c r="W138" s="6">
        <v>3587.39</v>
      </c>
      <c r="X138" t="s">
        <v>87</v>
      </c>
      <c r="Y138" s="7">
        <f t="shared" si="14"/>
        <v>3.2069970845481049E-2</v>
      </c>
      <c r="Z138" s="7">
        <f t="shared" si="15"/>
        <v>0.90281827016520899</v>
      </c>
      <c r="AA138">
        <f t="shared" si="16"/>
        <v>29</v>
      </c>
      <c r="AB138" s="8">
        <f t="shared" si="17"/>
        <v>4948.3499999999995</v>
      </c>
      <c r="AC138">
        <f t="shared" si="18"/>
        <v>59.5</v>
      </c>
      <c r="AD138" t="str">
        <f t="shared" si="19"/>
        <v>Medium</v>
      </c>
      <c r="AE138" t="str">
        <f t="shared" si="20"/>
        <v>Yes</v>
      </c>
    </row>
    <row r="139" spans="1:31" x14ac:dyDescent="0.35">
      <c r="A139" t="s">
        <v>241</v>
      </c>
      <c r="B139" s="5">
        <v>46090</v>
      </c>
      <c r="C139" t="s">
        <v>224</v>
      </c>
      <c r="D139" t="s">
        <v>20</v>
      </c>
      <c r="E139" t="s">
        <v>78</v>
      </c>
      <c r="F139" t="s">
        <v>27</v>
      </c>
      <c r="G139" t="s">
        <v>85</v>
      </c>
      <c r="H139" t="s">
        <v>37</v>
      </c>
      <c r="I139" t="s">
        <v>47</v>
      </c>
      <c r="J139">
        <v>1343</v>
      </c>
      <c r="K139">
        <v>1387</v>
      </c>
      <c r="L139">
        <v>28</v>
      </c>
      <c r="M139">
        <v>18</v>
      </c>
      <c r="N139">
        <v>1316</v>
      </c>
      <c r="O139">
        <v>70.7</v>
      </c>
      <c r="P139">
        <v>18.399999999999999</v>
      </c>
      <c r="Q139" t="s">
        <v>80</v>
      </c>
      <c r="R139" t="s">
        <v>81</v>
      </c>
      <c r="S139" t="s">
        <v>82</v>
      </c>
      <c r="T139">
        <v>7</v>
      </c>
      <c r="U139">
        <v>4</v>
      </c>
      <c r="V139" s="6">
        <v>122.33</v>
      </c>
      <c r="W139" s="6">
        <v>1693.14</v>
      </c>
      <c r="X139" t="s">
        <v>151</v>
      </c>
      <c r="Y139" s="7">
        <f t="shared" si="14"/>
        <v>2.0187454938716654E-2</v>
      </c>
      <c r="Z139" s="7">
        <f t="shared" si="15"/>
        <v>0.94881038211968272</v>
      </c>
      <c r="AA139">
        <f t="shared" si="16"/>
        <v>-44</v>
      </c>
      <c r="AB139" s="8">
        <f t="shared" si="17"/>
        <v>3425.24</v>
      </c>
      <c r="AC139">
        <f t="shared" si="18"/>
        <v>46.4</v>
      </c>
      <c r="AD139" t="str">
        <f t="shared" si="19"/>
        <v>Medium</v>
      </c>
      <c r="AE139" t="str">
        <f t="shared" si="20"/>
        <v>No</v>
      </c>
    </row>
    <row r="140" spans="1:31" x14ac:dyDescent="0.35">
      <c r="A140" t="s">
        <v>242</v>
      </c>
      <c r="B140" s="5">
        <v>46090</v>
      </c>
      <c r="C140" t="s">
        <v>224</v>
      </c>
      <c r="D140" t="s">
        <v>25</v>
      </c>
      <c r="E140" t="s">
        <v>89</v>
      </c>
      <c r="F140" t="s">
        <v>27</v>
      </c>
      <c r="G140" t="s">
        <v>79</v>
      </c>
      <c r="H140" t="s">
        <v>40</v>
      </c>
      <c r="I140" t="s">
        <v>46</v>
      </c>
      <c r="J140">
        <v>1159</v>
      </c>
      <c r="K140">
        <v>1152</v>
      </c>
      <c r="L140">
        <v>30</v>
      </c>
      <c r="M140">
        <v>17</v>
      </c>
      <c r="N140">
        <v>1062</v>
      </c>
      <c r="O140">
        <v>72.099999999999994</v>
      </c>
      <c r="P140">
        <v>8.5</v>
      </c>
      <c r="Q140" t="s">
        <v>80</v>
      </c>
      <c r="R140" t="s">
        <v>81</v>
      </c>
      <c r="S140" t="s">
        <v>82</v>
      </c>
      <c r="T140">
        <v>7</v>
      </c>
      <c r="U140">
        <v>0</v>
      </c>
      <c r="V140" s="6">
        <v>175.88</v>
      </c>
      <c r="W140" s="6">
        <v>3077.91</v>
      </c>
      <c r="X140" t="s">
        <v>94</v>
      </c>
      <c r="Y140" s="7">
        <f t="shared" si="14"/>
        <v>2.6041666666666668E-2</v>
      </c>
      <c r="Z140" s="7">
        <f t="shared" si="15"/>
        <v>0.921875</v>
      </c>
      <c r="AA140">
        <f t="shared" si="16"/>
        <v>7</v>
      </c>
      <c r="AB140" s="8">
        <f t="shared" si="17"/>
        <v>5276.4</v>
      </c>
      <c r="AC140">
        <f t="shared" si="18"/>
        <v>40.6</v>
      </c>
      <c r="AD140" t="str">
        <f t="shared" si="19"/>
        <v>Medium</v>
      </c>
      <c r="AE140" t="str">
        <f t="shared" si="20"/>
        <v>No</v>
      </c>
    </row>
    <row r="141" spans="1:31" x14ac:dyDescent="0.35">
      <c r="A141" t="s">
        <v>243</v>
      </c>
      <c r="B141" s="5">
        <v>46090</v>
      </c>
      <c r="C141" t="s">
        <v>224</v>
      </c>
      <c r="D141" t="s">
        <v>22</v>
      </c>
      <c r="E141" t="s">
        <v>93</v>
      </c>
      <c r="F141" t="s">
        <v>27</v>
      </c>
      <c r="G141" t="s">
        <v>85</v>
      </c>
      <c r="H141" t="s">
        <v>39</v>
      </c>
      <c r="I141" t="s">
        <v>44</v>
      </c>
      <c r="J141">
        <v>838</v>
      </c>
      <c r="K141">
        <v>749</v>
      </c>
      <c r="L141">
        <v>11</v>
      </c>
      <c r="M141">
        <v>8</v>
      </c>
      <c r="N141">
        <v>708</v>
      </c>
      <c r="O141">
        <v>35.6</v>
      </c>
      <c r="P141">
        <v>13.8</v>
      </c>
      <c r="Q141" t="s">
        <v>80</v>
      </c>
      <c r="R141" t="s">
        <v>81</v>
      </c>
      <c r="S141" t="s">
        <v>82</v>
      </c>
      <c r="T141">
        <v>0</v>
      </c>
      <c r="U141">
        <v>0</v>
      </c>
      <c r="V141" s="6">
        <v>47.18</v>
      </c>
      <c r="W141" s="6">
        <v>406.71</v>
      </c>
      <c r="X141" t="s">
        <v>91</v>
      </c>
      <c r="Y141" s="7">
        <f t="shared" si="14"/>
        <v>1.4686248331108143E-2</v>
      </c>
      <c r="Z141" s="7">
        <f t="shared" si="15"/>
        <v>0.94526034712950602</v>
      </c>
      <c r="AA141">
        <f t="shared" si="16"/>
        <v>89</v>
      </c>
      <c r="AB141" s="8">
        <f t="shared" si="17"/>
        <v>518.98</v>
      </c>
      <c r="AC141">
        <f t="shared" si="18"/>
        <v>35.1</v>
      </c>
      <c r="AD141" t="str">
        <f t="shared" si="19"/>
        <v>Low</v>
      </c>
      <c r="AE141" t="str">
        <f t="shared" si="20"/>
        <v>No</v>
      </c>
    </row>
    <row r="142" spans="1:31" x14ac:dyDescent="0.35">
      <c r="A142" t="s">
        <v>244</v>
      </c>
      <c r="B142" s="5">
        <v>46090</v>
      </c>
      <c r="C142" t="s">
        <v>224</v>
      </c>
      <c r="D142" t="s">
        <v>25</v>
      </c>
      <c r="E142" t="s">
        <v>89</v>
      </c>
      <c r="F142" t="s">
        <v>30</v>
      </c>
      <c r="G142" t="s">
        <v>85</v>
      </c>
      <c r="H142" t="s">
        <v>39</v>
      </c>
      <c r="I142" t="s">
        <v>44</v>
      </c>
      <c r="J142">
        <v>892</v>
      </c>
      <c r="K142">
        <v>797</v>
      </c>
      <c r="L142">
        <v>14</v>
      </c>
      <c r="M142">
        <v>9</v>
      </c>
      <c r="N142">
        <v>753</v>
      </c>
      <c r="O142">
        <v>58.6</v>
      </c>
      <c r="P142">
        <v>5.7</v>
      </c>
      <c r="Q142" t="s">
        <v>80</v>
      </c>
      <c r="R142" t="s">
        <v>81</v>
      </c>
      <c r="S142" t="s">
        <v>100</v>
      </c>
      <c r="T142">
        <v>5</v>
      </c>
      <c r="U142">
        <v>1</v>
      </c>
      <c r="V142" s="6">
        <v>318.83999999999997</v>
      </c>
      <c r="W142" s="6">
        <v>2860.49</v>
      </c>
      <c r="X142" t="s">
        <v>94</v>
      </c>
      <c r="Y142" s="7">
        <f t="shared" si="14"/>
        <v>1.7565872020075281E-2</v>
      </c>
      <c r="Z142" s="7">
        <f t="shared" si="15"/>
        <v>0.94479297365119197</v>
      </c>
      <c r="AA142">
        <f t="shared" si="16"/>
        <v>95</v>
      </c>
      <c r="AB142" s="8">
        <f t="shared" si="17"/>
        <v>4463.7599999999993</v>
      </c>
      <c r="AC142">
        <f t="shared" si="18"/>
        <v>27.5</v>
      </c>
      <c r="AD142" t="str">
        <f t="shared" si="19"/>
        <v>Low</v>
      </c>
      <c r="AE142" t="str">
        <f t="shared" si="20"/>
        <v>No</v>
      </c>
    </row>
    <row r="143" spans="1:31" x14ac:dyDescent="0.35">
      <c r="A143" t="s">
        <v>245</v>
      </c>
      <c r="B143" s="5">
        <v>46090</v>
      </c>
      <c r="C143" t="s">
        <v>224</v>
      </c>
      <c r="D143" t="s">
        <v>20</v>
      </c>
      <c r="E143" t="s">
        <v>78</v>
      </c>
      <c r="F143" t="s">
        <v>31</v>
      </c>
      <c r="G143" t="s">
        <v>90</v>
      </c>
      <c r="H143" t="s">
        <v>34</v>
      </c>
      <c r="I143" t="s">
        <v>48</v>
      </c>
      <c r="J143">
        <v>1000</v>
      </c>
      <c r="K143">
        <v>945</v>
      </c>
      <c r="L143">
        <v>38</v>
      </c>
      <c r="M143">
        <v>31</v>
      </c>
      <c r="N143">
        <v>943</v>
      </c>
      <c r="O143">
        <v>18.5</v>
      </c>
      <c r="P143">
        <v>3.6</v>
      </c>
      <c r="Q143" t="s">
        <v>80</v>
      </c>
      <c r="R143" t="s">
        <v>81</v>
      </c>
      <c r="S143" t="s">
        <v>82</v>
      </c>
      <c r="T143">
        <v>3</v>
      </c>
      <c r="U143">
        <v>3</v>
      </c>
      <c r="V143" s="6">
        <v>109.16</v>
      </c>
      <c r="W143" s="6">
        <v>1080.43</v>
      </c>
      <c r="X143" t="s">
        <v>94</v>
      </c>
      <c r="Y143" s="7">
        <f t="shared" si="14"/>
        <v>4.0211640211640212E-2</v>
      </c>
      <c r="Z143" s="7">
        <f t="shared" si="15"/>
        <v>0.99788359788359793</v>
      </c>
      <c r="AA143">
        <f t="shared" si="16"/>
        <v>55</v>
      </c>
      <c r="AB143" s="8">
        <f t="shared" si="17"/>
        <v>4148.08</v>
      </c>
      <c r="AC143">
        <f t="shared" si="18"/>
        <v>45</v>
      </c>
      <c r="AD143" t="str">
        <f t="shared" si="19"/>
        <v>Medium</v>
      </c>
      <c r="AE143" t="str">
        <f t="shared" si="20"/>
        <v>No</v>
      </c>
    </row>
    <row r="144" spans="1:31" x14ac:dyDescent="0.35">
      <c r="A144" t="s">
        <v>246</v>
      </c>
      <c r="B144" s="5">
        <v>46090</v>
      </c>
      <c r="C144" t="s">
        <v>224</v>
      </c>
      <c r="D144" t="s">
        <v>23</v>
      </c>
      <c r="E144" t="s">
        <v>78</v>
      </c>
      <c r="F144" t="s">
        <v>30</v>
      </c>
      <c r="G144" t="s">
        <v>90</v>
      </c>
      <c r="H144" t="s">
        <v>40</v>
      </c>
      <c r="I144" t="s">
        <v>46</v>
      </c>
      <c r="J144">
        <v>1098</v>
      </c>
      <c r="K144">
        <v>1009</v>
      </c>
      <c r="L144">
        <v>15</v>
      </c>
      <c r="M144">
        <v>7</v>
      </c>
      <c r="N144">
        <v>945</v>
      </c>
      <c r="O144">
        <v>23.2</v>
      </c>
      <c r="P144">
        <v>5.9</v>
      </c>
      <c r="Q144" t="s">
        <v>80</v>
      </c>
      <c r="R144" t="s">
        <v>81</v>
      </c>
      <c r="S144" t="s">
        <v>82</v>
      </c>
      <c r="T144">
        <v>4</v>
      </c>
      <c r="U144">
        <v>2</v>
      </c>
      <c r="V144" s="6">
        <v>91.63</v>
      </c>
      <c r="W144" s="6">
        <v>536.01</v>
      </c>
      <c r="X144" t="s">
        <v>151</v>
      </c>
      <c r="Y144" s="7">
        <f t="shared" si="14"/>
        <v>1.4866204162537165E-2</v>
      </c>
      <c r="Z144" s="7">
        <f t="shared" si="15"/>
        <v>0.93657086223984143</v>
      </c>
      <c r="AA144">
        <f t="shared" si="16"/>
        <v>89</v>
      </c>
      <c r="AB144" s="8">
        <f t="shared" si="17"/>
        <v>1374.4499999999998</v>
      </c>
      <c r="AC144">
        <f t="shared" si="18"/>
        <v>25.4</v>
      </c>
      <c r="AD144" t="str">
        <f t="shared" si="19"/>
        <v>Low</v>
      </c>
      <c r="AE144" t="str">
        <f t="shared" si="20"/>
        <v>No</v>
      </c>
    </row>
    <row r="145" spans="1:31" x14ac:dyDescent="0.35">
      <c r="A145" t="s">
        <v>247</v>
      </c>
      <c r="B145" s="5">
        <v>46090</v>
      </c>
      <c r="C145" t="s">
        <v>224</v>
      </c>
      <c r="D145" t="s">
        <v>248</v>
      </c>
      <c r="E145" t="s">
        <v>78</v>
      </c>
      <c r="F145" t="s">
        <v>30</v>
      </c>
      <c r="G145" t="s">
        <v>79</v>
      </c>
      <c r="H145" t="s">
        <v>36</v>
      </c>
      <c r="I145" t="s">
        <v>42</v>
      </c>
      <c r="J145">
        <v>936</v>
      </c>
      <c r="K145">
        <v>913</v>
      </c>
      <c r="L145">
        <v>22</v>
      </c>
      <c r="M145">
        <v>17</v>
      </c>
      <c r="N145">
        <v>849</v>
      </c>
      <c r="O145">
        <v>68.2</v>
      </c>
      <c r="P145">
        <v>8.6999999999999993</v>
      </c>
      <c r="Q145" t="s">
        <v>80</v>
      </c>
      <c r="R145" t="s">
        <v>81</v>
      </c>
      <c r="S145" t="s">
        <v>82</v>
      </c>
      <c r="T145">
        <v>5</v>
      </c>
      <c r="U145">
        <v>2</v>
      </c>
      <c r="V145" s="6">
        <v>38.31</v>
      </c>
      <c r="W145" s="6">
        <v>218.11</v>
      </c>
      <c r="X145" t="s">
        <v>94</v>
      </c>
      <c r="Y145" s="7">
        <f t="shared" si="14"/>
        <v>2.4096385542168676E-2</v>
      </c>
      <c r="Z145" s="7">
        <f t="shared" si="15"/>
        <v>0.92990142387732744</v>
      </c>
      <c r="AA145">
        <f t="shared" si="16"/>
        <v>23</v>
      </c>
      <c r="AB145" s="8">
        <f t="shared" si="17"/>
        <v>842.82</v>
      </c>
      <c r="AC145">
        <f t="shared" si="18"/>
        <v>38.6</v>
      </c>
      <c r="AD145" t="str">
        <f t="shared" si="19"/>
        <v>Low</v>
      </c>
      <c r="AE145" t="str">
        <f t="shared" si="20"/>
        <v>No</v>
      </c>
    </row>
    <row r="146" spans="1:31" x14ac:dyDescent="0.35">
      <c r="A146" t="s">
        <v>249</v>
      </c>
      <c r="B146" s="5">
        <v>46090</v>
      </c>
      <c r="C146" t="s">
        <v>224</v>
      </c>
      <c r="D146" t="s">
        <v>23</v>
      </c>
      <c r="E146" t="s">
        <v>78</v>
      </c>
      <c r="F146" t="s">
        <v>31</v>
      </c>
      <c r="G146" t="s">
        <v>79</v>
      </c>
      <c r="H146" t="s">
        <v>34</v>
      </c>
      <c r="I146" t="s">
        <v>46</v>
      </c>
      <c r="J146">
        <v>1213</v>
      </c>
      <c r="K146">
        <v>1082</v>
      </c>
      <c r="L146">
        <v>15</v>
      </c>
      <c r="M146">
        <v>11</v>
      </c>
      <c r="N146">
        <v>1031</v>
      </c>
      <c r="O146">
        <v>75</v>
      </c>
      <c r="P146">
        <v>3.5</v>
      </c>
      <c r="Q146" t="s">
        <v>80</v>
      </c>
      <c r="R146" t="s">
        <v>81</v>
      </c>
      <c r="S146" t="s">
        <v>138</v>
      </c>
      <c r="T146">
        <v>3</v>
      </c>
      <c r="U146">
        <v>1</v>
      </c>
      <c r="V146" s="6">
        <v>253.31</v>
      </c>
      <c r="W146" s="6">
        <v>2413.29</v>
      </c>
      <c r="X146" t="s">
        <v>87</v>
      </c>
      <c r="Y146" s="7">
        <f t="shared" si="14"/>
        <v>1.3863216266173753E-2</v>
      </c>
      <c r="Z146" s="7">
        <f t="shared" si="15"/>
        <v>0.9528650646950092</v>
      </c>
      <c r="AA146">
        <f t="shared" si="16"/>
        <v>131</v>
      </c>
      <c r="AB146" s="8">
        <f t="shared" si="17"/>
        <v>3799.65</v>
      </c>
      <c r="AC146">
        <f t="shared" si="18"/>
        <v>32.5</v>
      </c>
      <c r="AD146" t="str">
        <f t="shared" si="19"/>
        <v>Low</v>
      </c>
      <c r="AE146" t="str">
        <f t="shared" si="20"/>
        <v>Yes</v>
      </c>
    </row>
    <row r="147" spans="1:31" x14ac:dyDescent="0.35">
      <c r="A147" t="s">
        <v>250</v>
      </c>
      <c r="B147" s="5">
        <v>46090</v>
      </c>
      <c r="C147" t="s">
        <v>224</v>
      </c>
      <c r="D147" t="s">
        <v>25</v>
      </c>
      <c r="E147" t="s">
        <v>89</v>
      </c>
      <c r="F147" t="s">
        <v>29</v>
      </c>
      <c r="G147" t="s">
        <v>90</v>
      </c>
      <c r="H147" t="s">
        <v>40</v>
      </c>
      <c r="I147" t="s">
        <v>45</v>
      </c>
      <c r="J147">
        <v>1270</v>
      </c>
      <c r="K147">
        <v>1136</v>
      </c>
      <c r="L147">
        <v>29</v>
      </c>
      <c r="M147">
        <v>17</v>
      </c>
      <c r="N147">
        <v>1081</v>
      </c>
      <c r="O147">
        <v>35.200000000000003</v>
      </c>
      <c r="P147">
        <v>13.3</v>
      </c>
      <c r="Q147" t="s">
        <v>80</v>
      </c>
      <c r="R147" t="s">
        <v>81</v>
      </c>
      <c r="S147" t="s">
        <v>82</v>
      </c>
      <c r="T147">
        <v>6</v>
      </c>
      <c r="U147">
        <v>3</v>
      </c>
      <c r="V147" s="6">
        <v>295.02</v>
      </c>
      <c r="W147" s="6">
        <v>3861.08</v>
      </c>
      <c r="X147" t="s">
        <v>115</v>
      </c>
      <c r="Y147" s="7">
        <f t="shared" si="14"/>
        <v>2.5528169014084508E-2</v>
      </c>
      <c r="Z147" s="7">
        <f t="shared" si="15"/>
        <v>0.9515845070422535</v>
      </c>
      <c r="AA147">
        <f t="shared" si="16"/>
        <v>134</v>
      </c>
      <c r="AB147" s="8">
        <f t="shared" si="17"/>
        <v>8555.58</v>
      </c>
      <c r="AC147">
        <f t="shared" si="18"/>
        <v>45</v>
      </c>
      <c r="AD147" t="str">
        <f t="shared" si="19"/>
        <v>Medium</v>
      </c>
      <c r="AE147" t="str">
        <f t="shared" si="20"/>
        <v>No</v>
      </c>
    </row>
    <row r="148" spans="1:31" x14ac:dyDescent="0.35">
      <c r="A148" t="s">
        <v>251</v>
      </c>
      <c r="B148" s="5">
        <v>46090</v>
      </c>
      <c r="C148" t="s">
        <v>224</v>
      </c>
      <c r="D148" t="s">
        <v>20</v>
      </c>
      <c r="E148" t="s">
        <v>78</v>
      </c>
      <c r="F148" t="s">
        <v>30</v>
      </c>
      <c r="G148" t="s">
        <v>85</v>
      </c>
      <c r="H148" t="s">
        <v>36</v>
      </c>
      <c r="I148" t="s">
        <v>45</v>
      </c>
      <c r="J148">
        <v>938</v>
      </c>
      <c r="K148">
        <v>961</v>
      </c>
      <c r="L148">
        <v>36</v>
      </c>
      <c r="M148">
        <v>14</v>
      </c>
      <c r="N148">
        <v>943</v>
      </c>
      <c r="O148">
        <v>30.9</v>
      </c>
      <c r="P148">
        <v>11.2</v>
      </c>
      <c r="Q148" t="s">
        <v>80</v>
      </c>
      <c r="R148" t="s">
        <v>81</v>
      </c>
      <c r="S148" t="s">
        <v>82</v>
      </c>
      <c r="T148">
        <v>7</v>
      </c>
      <c r="U148">
        <v>2</v>
      </c>
      <c r="V148" s="6">
        <v>350.19</v>
      </c>
      <c r="W148" s="6">
        <v>4043.27</v>
      </c>
      <c r="X148" t="s">
        <v>87</v>
      </c>
      <c r="Y148" s="7">
        <f t="shared" si="14"/>
        <v>3.7460978147762745E-2</v>
      </c>
      <c r="Z148" s="7">
        <f t="shared" si="15"/>
        <v>0.98126951092611858</v>
      </c>
      <c r="AA148">
        <f t="shared" si="16"/>
        <v>-23</v>
      </c>
      <c r="AB148" s="8">
        <f t="shared" si="17"/>
        <v>12606.84</v>
      </c>
      <c r="AC148">
        <f t="shared" si="18"/>
        <v>52.9</v>
      </c>
      <c r="AD148" t="str">
        <f t="shared" si="19"/>
        <v>Medium</v>
      </c>
      <c r="AE148" t="str">
        <f t="shared" si="20"/>
        <v>No</v>
      </c>
    </row>
    <row r="149" spans="1:31" x14ac:dyDescent="0.35">
      <c r="A149" t="s">
        <v>252</v>
      </c>
      <c r="B149" s="5">
        <v>46090</v>
      </c>
      <c r="C149" t="s">
        <v>224</v>
      </c>
      <c r="D149" t="s">
        <v>22</v>
      </c>
      <c r="E149" t="s">
        <v>93</v>
      </c>
      <c r="F149" t="s">
        <v>31</v>
      </c>
      <c r="G149" t="s">
        <v>90</v>
      </c>
      <c r="H149" t="s">
        <v>34</v>
      </c>
      <c r="I149" t="s">
        <v>42</v>
      </c>
      <c r="J149">
        <v>1020</v>
      </c>
      <c r="K149">
        <v>1012</v>
      </c>
      <c r="L149">
        <v>12</v>
      </c>
      <c r="M149">
        <v>4</v>
      </c>
      <c r="N149">
        <v>892</v>
      </c>
      <c r="O149">
        <v>61.7</v>
      </c>
      <c r="P149">
        <v>9.9</v>
      </c>
      <c r="Q149" t="s">
        <v>80</v>
      </c>
      <c r="R149" t="s">
        <v>81</v>
      </c>
      <c r="S149" t="s">
        <v>82</v>
      </c>
      <c r="T149">
        <v>1</v>
      </c>
      <c r="U149">
        <v>0</v>
      </c>
      <c r="V149" s="6">
        <v>337.97</v>
      </c>
      <c r="W149" s="6">
        <v>2224.88</v>
      </c>
      <c r="X149" t="s">
        <v>94</v>
      </c>
      <c r="Y149" s="7">
        <f t="shared" si="14"/>
        <v>1.1857707509881422E-2</v>
      </c>
      <c r="Z149" s="7">
        <f t="shared" si="15"/>
        <v>0.88142292490118579</v>
      </c>
      <c r="AA149">
        <f t="shared" si="16"/>
        <v>8</v>
      </c>
      <c r="AB149" s="8">
        <f t="shared" si="17"/>
        <v>4055.6400000000003</v>
      </c>
      <c r="AC149">
        <f t="shared" si="18"/>
        <v>30.1</v>
      </c>
      <c r="AD149" t="str">
        <f t="shared" si="19"/>
        <v>Low</v>
      </c>
      <c r="AE149" t="str">
        <f t="shared" si="20"/>
        <v>No</v>
      </c>
    </row>
    <row r="150" spans="1:31" x14ac:dyDescent="0.35">
      <c r="A150" t="s">
        <v>253</v>
      </c>
      <c r="B150" s="5">
        <v>46090</v>
      </c>
      <c r="C150" t="s">
        <v>224</v>
      </c>
      <c r="D150" t="s">
        <v>22</v>
      </c>
      <c r="E150" t="s">
        <v>93</v>
      </c>
      <c r="F150" t="s">
        <v>31</v>
      </c>
      <c r="G150" t="s">
        <v>79</v>
      </c>
      <c r="H150" t="s">
        <v>34</v>
      </c>
      <c r="I150" t="s">
        <v>44</v>
      </c>
      <c r="J150">
        <v>1220</v>
      </c>
      <c r="K150">
        <v>1083</v>
      </c>
      <c r="L150">
        <v>14</v>
      </c>
      <c r="M150">
        <v>11</v>
      </c>
      <c r="N150">
        <v>963</v>
      </c>
      <c r="O150">
        <v>73.2</v>
      </c>
      <c r="P150">
        <v>0</v>
      </c>
      <c r="Q150" t="s">
        <v>86</v>
      </c>
      <c r="R150" t="s">
        <v>81</v>
      </c>
      <c r="S150" t="s">
        <v>82</v>
      </c>
      <c r="T150">
        <v>8</v>
      </c>
      <c r="U150">
        <v>1</v>
      </c>
      <c r="V150" s="6">
        <v>44.76</v>
      </c>
      <c r="W150" s="6">
        <v>204.04</v>
      </c>
      <c r="X150" t="s">
        <v>94</v>
      </c>
      <c r="Y150" s="7">
        <f t="shared" si="14"/>
        <v>1.2927054478301015E-2</v>
      </c>
      <c r="Z150" s="7">
        <f t="shared" si="15"/>
        <v>0.88919667590027696</v>
      </c>
      <c r="AA150">
        <f t="shared" si="16"/>
        <v>137</v>
      </c>
      <c r="AB150" s="8">
        <f t="shared" si="17"/>
        <v>626.64</v>
      </c>
      <c r="AC150">
        <f t="shared" si="18"/>
        <v>35.9</v>
      </c>
      <c r="AD150" t="str">
        <f t="shared" si="19"/>
        <v>Low</v>
      </c>
      <c r="AE150" t="str">
        <f t="shared" si="20"/>
        <v>Yes</v>
      </c>
    </row>
    <row r="151" spans="1:31" x14ac:dyDescent="0.35">
      <c r="A151" t="s">
        <v>254</v>
      </c>
      <c r="B151" s="5">
        <v>46090</v>
      </c>
      <c r="C151" t="s">
        <v>224</v>
      </c>
      <c r="D151" t="s">
        <v>25</v>
      </c>
      <c r="E151" t="s">
        <v>89</v>
      </c>
      <c r="F151" t="s">
        <v>30</v>
      </c>
      <c r="G151" t="s">
        <v>90</v>
      </c>
      <c r="H151" t="s">
        <v>39</v>
      </c>
      <c r="I151" t="s">
        <v>48</v>
      </c>
      <c r="J151">
        <v>1140</v>
      </c>
      <c r="K151">
        <v>1160</v>
      </c>
      <c r="L151">
        <v>33</v>
      </c>
      <c r="M151">
        <v>15</v>
      </c>
      <c r="N151">
        <v>1156</v>
      </c>
      <c r="O151">
        <v>26.4</v>
      </c>
      <c r="P151">
        <v>7.3</v>
      </c>
      <c r="Q151" t="s">
        <v>80</v>
      </c>
      <c r="R151" t="s">
        <v>81</v>
      </c>
      <c r="S151" t="s">
        <v>82</v>
      </c>
      <c r="T151">
        <v>3</v>
      </c>
      <c r="U151">
        <v>1</v>
      </c>
      <c r="V151" s="6">
        <v>444.86</v>
      </c>
      <c r="W151" s="6">
        <v>5492.61</v>
      </c>
      <c r="X151" t="s">
        <v>94</v>
      </c>
      <c r="Y151" s="7">
        <f t="shared" si="14"/>
        <v>2.8448275862068967E-2</v>
      </c>
      <c r="Z151" s="7">
        <f t="shared" si="15"/>
        <v>0.99655172413793103</v>
      </c>
      <c r="AA151">
        <f t="shared" si="16"/>
        <v>-20</v>
      </c>
      <c r="AB151" s="8">
        <f t="shared" si="17"/>
        <v>14680.380000000001</v>
      </c>
      <c r="AC151">
        <f t="shared" si="18"/>
        <v>38.1</v>
      </c>
      <c r="AD151" t="str">
        <f t="shared" si="19"/>
        <v>Low</v>
      </c>
      <c r="AE151" t="str">
        <f t="shared" si="20"/>
        <v>No</v>
      </c>
    </row>
    <row r="152" spans="1:31" x14ac:dyDescent="0.35">
      <c r="A152" t="s">
        <v>255</v>
      </c>
      <c r="B152" s="5">
        <v>46097</v>
      </c>
      <c r="C152" t="s">
        <v>224</v>
      </c>
      <c r="D152" t="s">
        <v>22</v>
      </c>
      <c r="E152" t="s">
        <v>93</v>
      </c>
      <c r="F152" t="s">
        <v>27</v>
      </c>
      <c r="G152" t="s">
        <v>79</v>
      </c>
      <c r="H152" t="s">
        <v>40</v>
      </c>
      <c r="I152" t="s">
        <v>48</v>
      </c>
      <c r="J152">
        <v>783</v>
      </c>
      <c r="K152">
        <v>757</v>
      </c>
      <c r="L152">
        <v>23</v>
      </c>
      <c r="M152">
        <v>8</v>
      </c>
      <c r="N152">
        <v>688</v>
      </c>
      <c r="O152">
        <v>35.4</v>
      </c>
      <c r="P152">
        <v>1.5</v>
      </c>
      <c r="Q152" t="s">
        <v>80</v>
      </c>
      <c r="R152" t="s">
        <v>81</v>
      </c>
      <c r="S152" t="s">
        <v>82</v>
      </c>
      <c r="T152">
        <v>7</v>
      </c>
      <c r="U152">
        <v>4</v>
      </c>
      <c r="V152" s="6">
        <v>325.33999999999997</v>
      </c>
      <c r="W152" s="6">
        <v>1947.39</v>
      </c>
      <c r="X152" t="s">
        <v>94</v>
      </c>
      <c r="Y152" s="7">
        <f t="shared" si="14"/>
        <v>3.0383091149273449E-2</v>
      </c>
      <c r="Z152" s="7">
        <f t="shared" si="15"/>
        <v>0.90885072655217969</v>
      </c>
      <c r="AA152">
        <f t="shared" si="16"/>
        <v>26</v>
      </c>
      <c r="AB152" s="8">
        <f t="shared" si="17"/>
        <v>7482.82</v>
      </c>
      <c r="AC152">
        <f t="shared" si="18"/>
        <v>36.4</v>
      </c>
      <c r="AD152" t="str">
        <f t="shared" si="19"/>
        <v>Low</v>
      </c>
      <c r="AE152" t="str">
        <f t="shared" si="20"/>
        <v>No</v>
      </c>
    </row>
    <row r="153" spans="1:31" x14ac:dyDescent="0.35">
      <c r="A153" t="s">
        <v>256</v>
      </c>
      <c r="B153" s="5">
        <v>46097</v>
      </c>
      <c r="C153" t="s">
        <v>224</v>
      </c>
      <c r="D153" t="s">
        <v>24</v>
      </c>
      <c r="E153" t="s">
        <v>78</v>
      </c>
      <c r="F153" t="s">
        <v>30</v>
      </c>
      <c r="G153" t="s">
        <v>79</v>
      </c>
      <c r="H153" t="s">
        <v>40</v>
      </c>
      <c r="I153" t="s">
        <v>45</v>
      </c>
      <c r="J153">
        <v>1475</v>
      </c>
      <c r="K153">
        <v>1525</v>
      </c>
      <c r="L153">
        <v>26</v>
      </c>
      <c r="M153">
        <v>16</v>
      </c>
      <c r="N153">
        <v>1364</v>
      </c>
      <c r="O153">
        <v>20.5</v>
      </c>
      <c r="P153">
        <v>8</v>
      </c>
      <c r="Q153" t="s">
        <v>96</v>
      </c>
      <c r="R153" t="s">
        <v>81</v>
      </c>
      <c r="S153" t="s">
        <v>82</v>
      </c>
      <c r="T153">
        <v>0</v>
      </c>
      <c r="U153">
        <v>0</v>
      </c>
      <c r="V153" s="6">
        <v>423.41</v>
      </c>
      <c r="W153" s="6">
        <v>7126.23</v>
      </c>
      <c r="X153" t="s">
        <v>94</v>
      </c>
      <c r="Y153" s="7">
        <f t="shared" si="14"/>
        <v>1.7049180327868854E-2</v>
      </c>
      <c r="Z153" s="7">
        <f t="shared" si="15"/>
        <v>0.89442622950819672</v>
      </c>
      <c r="AA153">
        <f t="shared" si="16"/>
        <v>-50</v>
      </c>
      <c r="AB153" s="8">
        <f t="shared" si="17"/>
        <v>11008.66</v>
      </c>
      <c r="AC153">
        <f t="shared" si="18"/>
        <v>42.2</v>
      </c>
      <c r="AD153" t="str">
        <f t="shared" si="19"/>
        <v>Medium</v>
      </c>
      <c r="AE153" t="str">
        <f t="shared" si="20"/>
        <v>No</v>
      </c>
    </row>
    <row r="154" spans="1:31" x14ac:dyDescent="0.35">
      <c r="A154" t="s">
        <v>257</v>
      </c>
      <c r="B154" s="5">
        <v>46097</v>
      </c>
      <c r="C154" t="s">
        <v>224</v>
      </c>
      <c r="D154" t="s">
        <v>23</v>
      </c>
      <c r="E154" t="s">
        <v>78</v>
      </c>
      <c r="F154" t="s">
        <v>27</v>
      </c>
      <c r="G154" t="s">
        <v>90</v>
      </c>
      <c r="H154" t="s">
        <v>38</v>
      </c>
      <c r="I154" t="s">
        <v>44</v>
      </c>
      <c r="J154">
        <v>1519</v>
      </c>
      <c r="K154">
        <v>1382</v>
      </c>
      <c r="L154">
        <v>35</v>
      </c>
      <c r="M154">
        <v>14</v>
      </c>
      <c r="N154">
        <v>1321</v>
      </c>
      <c r="O154">
        <v>61</v>
      </c>
      <c r="P154">
        <v>7.6</v>
      </c>
      <c r="Q154" t="s">
        <v>96</v>
      </c>
      <c r="R154" t="s">
        <v>81</v>
      </c>
      <c r="S154" t="s">
        <v>82</v>
      </c>
      <c r="T154">
        <v>3</v>
      </c>
      <c r="U154">
        <v>0</v>
      </c>
      <c r="V154" s="6">
        <v>426.4</v>
      </c>
      <c r="W154" s="6">
        <v>7273.19</v>
      </c>
      <c r="X154" t="s">
        <v>91</v>
      </c>
      <c r="Y154" s="7">
        <f t="shared" si="14"/>
        <v>2.5325615050651229E-2</v>
      </c>
      <c r="Z154" s="7">
        <f t="shared" si="15"/>
        <v>0.95586107091172212</v>
      </c>
      <c r="AA154">
        <f t="shared" si="16"/>
        <v>137</v>
      </c>
      <c r="AB154" s="8">
        <f t="shared" si="17"/>
        <v>14924</v>
      </c>
      <c r="AC154">
        <f t="shared" si="18"/>
        <v>47.2</v>
      </c>
      <c r="AD154" t="str">
        <f t="shared" si="19"/>
        <v>Medium</v>
      </c>
      <c r="AE154" t="str">
        <f t="shared" si="20"/>
        <v>No</v>
      </c>
    </row>
    <row r="155" spans="1:31" x14ac:dyDescent="0.35">
      <c r="A155" t="s">
        <v>258</v>
      </c>
      <c r="B155" s="5">
        <v>46097</v>
      </c>
      <c r="C155" t="s">
        <v>224</v>
      </c>
      <c r="D155" t="s">
        <v>20</v>
      </c>
      <c r="E155" t="s">
        <v>78</v>
      </c>
      <c r="F155" t="s">
        <v>29</v>
      </c>
      <c r="G155" t="s">
        <v>79</v>
      </c>
      <c r="H155" t="s">
        <v>36</v>
      </c>
      <c r="I155" t="s">
        <v>47</v>
      </c>
      <c r="J155">
        <v>839</v>
      </c>
      <c r="K155">
        <v>783</v>
      </c>
      <c r="L155">
        <v>9</v>
      </c>
      <c r="M155">
        <v>7</v>
      </c>
      <c r="N155">
        <v>702</v>
      </c>
      <c r="O155">
        <v>68.900000000000006</v>
      </c>
      <c r="P155">
        <v>2.9</v>
      </c>
      <c r="Q155" t="s">
        <v>80</v>
      </c>
      <c r="R155" t="s">
        <v>81</v>
      </c>
      <c r="S155" t="s">
        <v>82</v>
      </c>
      <c r="T155">
        <v>4</v>
      </c>
      <c r="U155">
        <v>0</v>
      </c>
      <c r="V155" s="6">
        <v>458.83</v>
      </c>
      <c r="W155" s="6">
        <v>1715.96</v>
      </c>
      <c r="X155" t="s">
        <v>94</v>
      </c>
      <c r="Y155" s="7">
        <f t="shared" si="14"/>
        <v>1.1494252873563218E-2</v>
      </c>
      <c r="Z155" s="7">
        <f t="shared" si="15"/>
        <v>0.89655172413793105</v>
      </c>
      <c r="AA155">
        <f t="shared" si="16"/>
        <v>56</v>
      </c>
      <c r="AB155" s="8">
        <f t="shared" si="17"/>
        <v>4129.47</v>
      </c>
      <c r="AC155">
        <f t="shared" si="18"/>
        <v>19.899999999999999</v>
      </c>
      <c r="AD155" t="str">
        <f t="shared" si="19"/>
        <v>Low</v>
      </c>
      <c r="AE155" t="str">
        <f t="shared" si="20"/>
        <v>No</v>
      </c>
    </row>
    <row r="156" spans="1:31" x14ac:dyDescent="0.35">
      <c r="A156" t="s">
        <v>259</v>
      </c>
      <c r="B156" s="5">
        <v>46097</v>
      </c>
      <c r="C156" t="s">
        <v>224</v>
      </c>
      <c r="D156" t="s">
        <v>22</v>
      </c>
      <c r="E156" t="s">
        <v>93</v>
      </c>
      <c r="F156" t="s">
        <v>27</v>
      </c>
      <c r="G156" t="s">
        <v>79</v>
      </c>
      <c r="H156" t="s">
        <v>40</v>
      </c>
      <c r="I156" t="s">
        <v>47</v>
      </c>
      <c r="J156">
        <v>1116</v>
      </c>
      <c r="K156">
        <v>1039</v>
      </c>
      <c r="L156">
        <v>33</v>
      </c>
      <c r="M156">
        <v>21</v>
      </c>
      <c r="N156">
        <v>1019</v>
      </c>
      <c r="O156">
        <v>43.1</v>
      </c>
      <c r="P156">
        <v>9.6999999999999993</v>
      </c>
      <c r="Q156" t="s">
        <v>80</v>
      </c>
      <c r="R156" t="s">
        <v>81</v>
      </c>
      <c r="S156" t="s">
        <v>82</v>
      </c>
      <c r="T156">
        <v>10</v>
      </c>
      <c r="U156">
        <v>2</v>
      </c>
      <c r="V156" s="6">
        <v>193.58</v>
      </c>
      <c r="W156" s="6">
        <v>3768.18</v>
      </c>
      <c r="X156" t="s">
        <v>94</v>
      </c>
      <c r="Y156" s="7">
        <f t="shared" si="14"/>
        <v>3.1761308950914342E-2</v>
      </c>
      <c r="Z156" s="7">
        <f t="shared" si="15"/>
        <v>0.98075072184793066</v>
      </c>
      <c r="AA156">
        <f t="shared" si="16"/>
        <v>77</v>
      </c>
      <c r="AB156" s="8">
        <f t="shared" si="17"/>
        <v>6388.14</v>
      </c>
      <c r="AC156">
        <f t="shared" si="18"/>
        <v>45.2</v>
      </c>
      <c r="AD156" t="str">
        <f t="shared" si="19"/>
        <v>Medium</v>
      </c>
      <c r="AE156" t="str">
        <f t="shared" si="20"/>
        <v>No</v>
      </c>
    </row>
    <row r="157" spans="1:31" x14ac:dyDescent="0.35">
      <c r="A157" t="s">
        <v>260</v>
      </c>
      <c r="B157" s="5">
        <v>46097</v>
      </c>
      <c r="C157" t="s">
        <v>224</v>
      </c>
      <c r="D157" t="s">
        <v>25</v>
      </c>
      <c r="E157" t="s">
        <v>89</v>
      </c>
      <c r="F157" t="s">
        <v>30</v>
      </c>
      <c r="G157" t="s">
        <v>79</v>
      </c>
      <c r="H157" t="s">
        <v>36</v>
      </c>
      <c r="I157" t="s">
        <v>45</v>
      </c>
      <c r="J157">
        <v>1116</v>
      </c>
      <c r="K157">
        <v>1024</v>
      </c>
      <c r="L157">
        <v>24</v>
      </c>
      <c r="M157">
        <v>9</v>
      </c>
      <c r="N157">
        <v>922</v>
      </c>
      <c r="O157">
        <v>61.3</v>
      </c>
      <c r="P157">
        <v>0</v>
      </c>
      <c r="Q157" t="s">
        <v>80</v>
      </c>
      <c r="R157" t="s">
        <v>81</v>
      </c>
      <c r="S157" t="s">
        <v>82</v>
      </c>
      <c r="T157">
        <v>2</v>
      </c>
      <c r="U157">
        <v>1</v>
      </c>
      <c r="V157" s="6">
        <v>62.91</v>
      </c>
      <c r="W157" s="6">
        <v>744.43</v>
      </c>
      <c r="X157" t="s">
        <v>151</v>
      </c>
      <c r="Y157" s="7">
        <f t="shared" si="14"/>
        <v>2.34375E-2</v>
      </c>
      <c r="Z157" s="7">
        <f t="shared" si="15"/>
        <v>0.900390625</v>
      </c>
      <c r="AA157">
        <f t="shared" si="16"/>
        <v>92</v>
      </c>
      <c r="AB157" s="8">
        <f t="shared" si="17"/>
        <v>1509.84</v>
      </c>
      <c r="AC157">
        <f t="shared" si="18"/>
        <v>27.9</v>
      </c>
      <c r="AD157" t="str">
        <f t="shared" si="19"/>
        <v>Low</v>
      </c>
      <c r="AE157" t="str">
        <f t="shared" si="20"/>
        <v>No</v>
      </c>
    </row>
    <row r="158" spans="1:31" x14ac:dyDescent="0.35">
      <c r="A158" t="s">
        <v>261</v>
      </c>
      <c r="B158" s="5">
        <v>46097</v>
      </c>
      <c r="C158" t="s">
        <v>224</v>
      </c>
      <c r="D158" t="s">
        <v>25</v>
      </c>
      <c r="E158" t="s">
        <v>89</v>
      </c>
      <c r="F158" t="s">
        <v>29</v>
      </c>
      <c r="G158" t="s">
        <v>79</v>
      </c>
      <c r="H158" t="s">
        <v>34</v>
      </c>
      <c r="I158" t="s">
        <v>42</v>
      </c>
      <c r="J158">
        <v>1461</v>
      </c>
      <c r="K158">
        <v>1419</v>
      </c>
      <c r="L158">
        <v>23</v>
      </c>
      <c r="M158">
        <v>8</v>
      </c>
      <c r="N158">
        <v>1288</v>
      </c>
      <c r="O158">
        <v>67.7</v>
      </c>
      <c r="P158">
        <v>9.4</v>
      </c>
      <c r="Q158" t="s">
        <v>80</v>
      </c>
      <c r="R158" t="s">
        <v>81</v>
      </c>
      <c r="S158" t="s">
        <v>82</v>
      </c>
      <c r="T158">
        <v>7</v>
      </c>
      <c r="U158">
        <v>0</v>
      </c>
      <c r="V158" s="6">
        <v>116.71</v>
      </c>
      <c r="W158" s="6">
        <v>1335.48</v>
      </c>
      <c r="X158" t="s">
        <v>91</v>
      </c>
      <c r="Y158" s="7">
        <f t="shared" si="14"/>
        <v>1.620859760394644E-2</v>
      </c>
      <c r="Z158" s="7">
        <f t="shared" si="15"/>
        <v>0.90768146582100073</v>
      </c>
      <c r="AA158">
        <f t="shared" si="16"/>
        <v>42</v>
      </c>
      <c r="AB158" s="8">
        <f t="shared" si="17"/>
        <v>2684.33</v>
      </c>
      <c r="AC158">
        <f t="shared" si="18"/>
        <v>32.6</v>
      </c>
      <c r="AD158" t="str">
        <f t="shared" si="19"/>
        <v>Low</v>
      </c>
      <c r="AE158" t="str">
        <f t="shared" si="20"/>
        <v>No</v>
      </c>
    </row>
    <row r="159" spans="1:31" x14ac:dyDescent="0.35">
      <c r="A159" t="s">
        <v>262</v>
      </c>
      <c r="B159" s="5">
        <v>46097</v>
      </c>
      <c r="C159" t="s">
        <v>224</v>
      </c>
      <c r="D159" t="s">
        <v>22</v>
      </c>
      <c r="E159" t="s">
        <v>93</v>
      </c>
      <c r="F159" t="s">
        <v>29</v>
      </c>
      <c r="G159" t="s">
        <v>85</v>
      </c>
      <c r="H159" t="s">
        <v>34</v>
      </c>
      <c r="I159" t="s">
        <v>46</v>
      </c>
      <c r="J159">
        <v>1449</v>
      </c>
      <c r="K159">
        <v>1303</v>
      </c>
      <c r="L159">
        <v>35</v>
      </c>
      <c r="M159">
        <v>22</v>
      </c>
      <c r="N159">
        <v>1223</v>
      </c>
      <c r="O159">
        <v>64.2</v>
      </c>
      <c r="P159">
        <v>13.8</v>
      </c>
      <c r="Q159" t="s">
        <v>80</v>
      </c>
      <c r="R159" t="s">
        <v>81</v>
      </c>
      <c r="S159" t="s">
        <v>82</v>
      </c>
      <c r="T159">
        <v>9</v>
      </c>
      <c r="U159">
        <v>1</v>
      </c>
      <c r="V159" s="6">
        <v>221.63</v>
      </c>
      <c r="W159" s="6">
        <v>5274.05</v>
      </c>
      <c r="X159" t="s">
        <v>121</v>
      </c>
      <c r="Y159" s="7">
        <f t="shared" si="14"/>
        <v>2.686108979278588E-2</v>
      </c>
      <c r="Z159" s="7">
        <f t="shared" si="15"/>
        <v>0.93860322333077517</v>
      </c>
      <c r="AA159">
        <f t="shared" si="16"/>
        <v>146</v>
      </c>
      <c r="AB159" s="8">
        <f t="shared" si="17"/>
        <v>7757.05</v>
      </c>
      <c r="AC159">
        <f t="shared" si="18"/>
        <v>47.6</v>
      </c>
      <c r="AD159" t="str">
        <f t="shared" si="19"/>
        <v>Medium</v>
      </c>
      <c r="AE159" t="str">
        <f t="shared" si="20"/>
        <v>No</v>
      </c>
    </row>
    <row r="160" spans="1:31" x14ac:dyDescent="0.35">
      <c r="A160" t="s">
        <v>263</v>
      </c>
      <c r="B160" s="5">
        <v>46097</v>
      </c>
      <c r="C160" t="s">
        <v>224</v>
      </c>
      <c r="D160" t="s">
        <v>24</v>
      </c>
      <c r="E160" t="s">
        <v>78</v>
      </c>
      <c r="F160" t="s">
        <v>32</v>
      </c>
      <c r="G160" t="s">
        <v>79</v>
      </c>
      <c r="H160" t="s">
        <v>36</v>
      </c>
      <c r="I160" t="s">
        <v>45</v>
      </c>
      <c r="J160">
        <v>1550</v>
      </c>
      <c r="K160">
        <v>1441</v>
      </c>
      <c r="L160">
        <v>45</v>
      </c>
      <c r="M160">
        <v>37</v>
      </c>
      <c r="N160">
        <v>1347</v>
      </c>
      <c r="O160">
        <v>63.1</v>
      </c>
      <c r="P160">
        <v>6.6</v>
      </c>
      <c r="Q160" t="s">
        <v>96</v>
      </c>
      <c r="R160" t="s">
        <v>81</v>
      </c>
      <c r="S160" t="s">
        <v>82</v>
      </c>
      <c r="T160">
        <v>5</v>
      </c>
      <c r="U160">
        <v>3</v>
      </c>
      <c r="V160" s="6">
        <v>436.36</v>
      </c>
      <c r="W160" s="6">
        <v>13765.5</v>
      </c>
      <c r="X160" t="s">
        <v>94</v>
      </c>
      <c r="Y160" s="7">
        <f t="shared" si="14"/>
        <v>3.1228313671061762E-2</v>
      </c>
      <c r="Z160" s="7">
        <f t="shared" si="15"/>
        <v>0.93476752255378215</v>
      </c>
      <c r="AA160">
        <f t="shared" si="16"/>
        <v>109</v>
      </c>
      <c r="AB160" s="8">
        <f t="shared" si="17"/>
        <v>19636.2</v>
      </c>
      <c r="AC160">
        <f t="shared" si="18"/>
        <v>52.7</v>
      </c>
      <c r="AD160" t="str">
        <f t="shared" si="19"/>
        <v>Medium</v>
      </c>
      <c r="AE160" t="str">
        <f t="shared" si="20"/>
        <v>No</v>
      </c>
    </row>
    <row r="161" spans="1:31" x14ac:dyDescent="0.35">
      <c r="A161" t="s">
        <v>264</v>
      </c>
      <c r="B161" s="5">
        <v>46097</v>
      </c>
      <c r="C161" t="s">
        <v>224</v>
      </c>
      <c r="D161" t="s">
        <v>23</v>
      </c>
      <c r="E161" t="s">
        <v>78</v>
      </c>
      <c r="F161" t="s">
        <v>30</v>
      </c>
      <c r="G161" t="s">
        <v>85</v>
      </c>
      <c r="H161" t="s">
        <v>40</v>
      </c>
      <c r="I161" t="s">
        <v>45</v>
      </c>
      <c r="J161">
        <v>869</v>
      </c>
      <c r="K161">
        <v>825</v>
      </c>
      <c r="L161">
        <v>21</v>
      </c>
      <c r="M161">
        <v>16</v>
      </c>
      <c r="N161">
        <v>791</v>
      </c>
      <c r="O161">
        <v>41.6</v>
      </c>
      <c r="P161">
        <v>0</v>
      </c>
      <c r="Q161" t="s">
        <v>80</v>
      </c>
      <c r="R161" t="s">
        <v>81</v>
      </c>
      <c r="S161" t="s">
        <v>82</v>
      </c>
      <c r="T161">
        <v>0</v>
      </c>
      <c r="U161">
        <v>0</v>
      </c>
      <c r="V161" s="6">
        <v>213.94</v>
      </c>
      <c r="W161" s="6">
        <v>1703.89</v>
      </c>
      <c r="X161" t="s">
        <v>94</v>
      </c>
      <c r="Y161" s="7">
        <f t="shared" si="14"/>
        <v>2.5454545454545455E-2</v>
      </c>
      <c r="Z161" s="7">
        <f t="shared" si="15"/>
        <v>0.95878787878787874</v>
      </c>
      <c r="AA161">
        <f t="shared" si="16"/>
        <v>44</v>
      </c>
      <c r="AB161" s="8">
        <f t="shared" si="17"/>
        <v>4492.74</v>
      </c>
      <c r="AC161">
        <f t="shared" si="18"/>
        <v>27.3</v>
      </c>
      <c r="AD161" t="str">
        <f t="shared" si="19"/>
        <v>Low</v>
      </c>
      <c r="AE161" t="str">
        <f t="shared" si="20"/>
        <v>No</v>
      </c>
    </row>
    <row r="162" spans="1:31" x14ac:dyDescent="0.35">
      <c r="A162" t="s">
        <v>265</v>
      </c>
      <c r="B162" s="5">
        <v>46097</v>
      </c>
      <c r="C162" t="s">
        <v>224</v>
      </c>
      <c r="D162" t="s">
        <v>23</v>
      </c>
      <c r="E162" t="s">
        <v>78</v>
      </c>
      <c r="F162" t="s">
        <v>29</v>
      </c>
      <c r="G162" t="s">
        <v>85</v>
      </c>
      <c r="H162" t="s">
        <v>38</v>
      </c>
      <c r="I162" t="s">
        <v>48</v>
      </c>
      <c r="J162">
        <v>865</v>
      </c>
      <c r="K162">
        <v>819</v>
      </c>
      <c r="L162">
        <v>31</v>
      </c>
      <c r="M162">
        <v>24</v>
      </c>
      <c r="N162">
        <v>793</v>
      </c>
      <c r="O162">
        <v>34</v>
      </c>
      <c r="P162">
        <v>4.0999999999999996</v>
      </c>
      <c r="Q162" t="s">
        <v>80</v>
      </c>
      <c r="R162" t="s">
        <v>81</v>
      </c>
      <c r="S162" t="s">
        <v>82</v>
      </c>
      <c r="T162">
        <v>9</v>
      </c>
      <c r="U162">
        <v>1</v>
      </c>
      <c r="V162" s="6">
        <v>81.17</v>
      </c>
      <c r="W162" s="6">
        <v>1503.02</v>
      </c>
      <c r="X162" t="s">
        <v>83</v>
      </c>
      <c r="Y162" s="7">
        <f t="shared" si="14"/>
        <v>3.7851037851037848E-2</v>
      </c>
      <c r="Z162" s="7">
        <f t="shared" si="15"/>
        <v>0.96825396825396826</v>
      </c>
      <c r="AA162">
        <f t="shared" si="16"/>
        <v>46</v>
      </c>
      <c r="AB162" s="8">
        <f t="shared" si="17"/>
        <v>2516.27</v>
      </c>
      <c r="AC162">
        <f t="shared" si="18"/>
        <v>44.6</v>
      </c>
      <c r="AD162" t="str">
        <f t="shared" si="19"/>
        <v>Medium</v>
      </c>
      <c r="AE162" t="str">
        <f t="shared" si="20"/>
        <v>No</v>
      </c>
    </row>
    <row r="163" spans="1:31" x14ac:dyDescent="0.35">
      <c r="A163" t="s">
        <v>266</v>
      </c>
      <c r="B163" s="5">
        <v>46097</v>
      </c>
      <c r="C163" t="s">
        <v>224</v>
      </c>
      <c r="D163" t="s">
        <v>24</v>
      </c>
      <c r="E163" t="s">
        <v>78</v>
      </c>
      <c r="F163" t="s">
        <v>29</v>
      </c>
      <c r="G163" t="s">
        <v>85</v>
      </c>
      <c r="H163" t="s">
        <v>37</v>
      </c>
      <c r="I163" t="s">
        <v>46</v>
      </c>
      <c r="J163">
        <v>1474</v>
      </c>
      <c r="K163">
        <v>1431</v>
      </c>
      <c r="L163">
        <v>21</v>
      </c>
      <c r="M163">
        <v>17</v>
      </c>
      <c r="N163">
        <v>1302</v>
      </c>
      <c r="O163">
        <v>22</v>
      </c>
      <c r="P163">
        <v>7.9</v>
      </c>
      <c r="Q163" t="s">
        <v>80</v>
      </c>
      <c r="R163" t="s">
        <v>81</v>
      </c>
      <c r="S163" t="s">
        <v>82</v>
      </c>
      <c r="T163">
        <v>3</v>
      </c>
      <c r="U163">
        <v>5</v>
      </c>
      <c r="V163" s="6">
        <v>409.68</v>
      </c>
      <c r="W163" s="6">
        <v>6830.05</v>
      </c>
      <c r="X163" t="s">
        <v>94</v>
      </c>
      <c r="Y163" s="7">
        <f t="shared" si="14"/>
        <v>1.4675052410901468E-2</v>
      </c>
      <c r="Z163" s="7">
        <f t="shared" si="15"/>
        <v>0.90985324947589097</v>
      </c>
      <c r="AA163">
        <f t="shared" si="16"/>
        <v>43</v>
      </c>
      <c r="AB163" s="8">
        <f t="shared" si="17"/>
        <v>8603.2800000000007</v>
      </c>
      <c r="AC163">
        <f t="shared" si="18"/>
        <v>29</v>
      </c>
      <c r="AD163" t="str">
        <f t="shared" si="19"/>
        <v>Low</v>
      </c>
      <c r="AE163" t="str">
        <f t="shared" si="20"/>
        <v>No</v>
      </c>
    </row>
    <row r="164" spans="1:31" x14ac:dyDescent="0.35">
      <c r="A164" t="s">
        <v>267</v>
      </c>
      <c r="B164" s="5">
        <v>46097</v>
      </c>
      <c r="C164" t="s">
        <v>224</v>
      </c>
      <c r="D164" t="s">
        <v>24</v>
      </c>
      <c r="E164" t="s">
        <v>78</v>
      </c>
      <c r="F164" t="s">
        <v>32</v>
      </c>
      <c r="G164" t="s">
        <v>85</v>
      </c>
      <c r="H164" t="s">
        <v>38</v>
      </c>
      <c r="I164" t="s">
        <v>46</v>
      </c>
      <c r="J164">
        <v>1345</v>
      </c>
      <c r="K164">
        <v>1303</v>
      </c>
      <c r="L164">
        <v>47</v>
      </c>
      <c r="M164">
        <v>26</v>
      </c>
      <c r="N164">
        <v>1208</v>
      </c>
      <c r="O164">
        <v>32.1</v>
      </c>
      <c r="P164">
        <v>13.2</v>
      </c>
      <c r="Q164" t="s">
        <v>80</v>
      </c>
      <c r="R164" t="s">
        <v>81</v>
      </c>
      <c r="S164" t="s">
        <v>82</v>
      </c>
      <c r="T164">
        <v>7</v>
      </c>
      <c r="U164">
        <v>5</v>
      </c>
      <c r="V164" s="6">
        <v>211.28</v>
      </c>
      <c r="W164" s="6">
        <v>7787.89</v>
      </c>
      <c r="X164" t="s">
        <v>94</v>
      </c>
      <c r="Y164" s="7">
        <f t="shared" si="14"/>
        <v>3.6070606293169612E-2</v>
      </c>
      <c r="Z164" s="7">
        <f t="shared" si="15"/>
        <v>0.92709132770529545</v>
      </c>
      <c r="AA164">
        <f t="shared" si="16"/>
        <v>42</v>
      </c>
      <c r="AB164" s="8">
        <f t="shared" si="17"/>
        <v>9930.16</v>
      </c>
      <c r="AC164">
        <f t="shared" si="18"/>
        <v>56.5</v>
      </c>
      <c r="AD164" t="str">
        <f t="shared" si="19"/>
        <v>Medium</v>
      </c>
      <c r="AE164" t="str">
        <f t="shared" si="20"/>
        <v>No</v>
      </c>
    </row>
    <row r="165" spans="1:31" x14ac:dyDescent="0.35">
      <c r="A165" t="s">
        <v>268</v>
      </c>
      <c r="B165" s="5">
        <v>46097</v>
      </c>
      <c r="C165" t="s">
        <v>224</v>
      </c>
      <c r="D165" t="s">
        <v>20</v>
      </c>
      <c r="E165" t="s">
        <v>78</v>
      </c>
      <c r="F165" t="s">
        <v>31</v>
      </c>
      <c r="G165" t="s">
        <v>90</v>
      </c>
      <c r="H165" t="s">
        <v>40</v>
      </c>
      <c r="I165" t="s">
        <v>48</v>
      </c>
      <c r="J165">
        <v>996</v>
      </c>
      <c r="K165">
        <v>978</v>
      </c>
      <c r="L165">
        <v>22</v>
      </c>
      <c r="M165">
        <v>9</v>
      </c>
      <c r="N165">
        <v>926</v>
      </c>
      <c r="O165">
        <v>39.9</v>
      </c>
      <c r="P165">
        <v>10.4</v>
      </c>
      <c r="Q165" t="s">
        <v>80</v>
      </c>
      <c r="R165" t="s">
        <v>81</v>
      </c>
      <c r="S165" t="s">
        <v>82</v>
      </c>
      <c r="T165">
        <v>7</v>
      </c>
      <c r="U165">
        <v>2</v>
      </c>
      <c r="V165" s="6">
        <v>325.05</v>
      </c>
      <c r="W165" s="6">
        <v>2399.87</v>
      </c>
      <c r="X165" t="s">
        <v>94</v>
      </c>
      <c r="Y165" s="7">
        <f t="shared" si="14"/>
        <v>2.2494887525562373E-2</v>
      </c>
      <c r="Z165" s="7">
        <f t="shared" si="15"/>
        <v>0.9468302658486708</v>
      </c>
      <c r="AA165">
        <f t="shared" si="16"/>
        <v>18</v>
      </c>
      <c r="AB165" s="8">
        <f t="shared" si="17"/>
        <v>7151.1</v>
      </c>
      <c r="AC165">
        <f t="shared" si="18"/>
        <v>38.4</v>
      </c>
      <c r="AD165" t="str">
        <f t="shared" si="19"/>
        <v>Low</v>
      </c>
      <c r="AE165" t="str">
        <f t="shared" si="20"/>
        <v>No</v>
      </c>
    </row>
    <row r="166" spans="1:31" x14ac:dyDescent="0.35">
      <c r="A166" t="s">
        <v>269</v>
      </c>
      <c r="B166" s="5">
        <v>46097</v>
      </c>
      <c r="C166" t="s">
        <v>224</v>
      </c>
      <c r="D166" t="s">
        <v>22</v>
      </c>
      <c r="E166" t="s">
        <v>93</v>
      </c>
      <c r="F166" t="s">
        <v>32</v>
      </c>
      <c r="G166" t="s">
        <v>79</v>
      </c>
      <c r="H166" t="s">
        <v>37</v>
      </c>
      <c r="I166" t="s">
        <v>47</v>
      </c>
      <c r="J166">
        <v>1381</v>
      </c>
      <c r="K166">
        <v>1209</v>
      </c>
      <c r="L166">
        <v>29</v>
      </c>
      <c r="M166">
        <v>19</v>
      </c>
      <c r="N166">
        <v>1133</v>
      </c>
      <c r="O166">
        <v>67.099999999999994</v>
      </c>
      <c r="P166">
        <v>11.8</v>
      </c>
      <c r="Q166" t="s">
        <v>80</v>
      </c>
      <c r="R166" t="s">
        <v>81</v>
      </c>
      <c r="S166" t="s">
        <v>82</v>
      </c>
      <c r="T166">
        <v>7</v>
      </c>
      <c r="U166">
        <v>4</v>
      </c>
      <c r="V166" s="6">
        <v>255.33</v>
      </c>
      <c r="W166" s="6">
        <v>2373.52</v>
      </c>
      <c r="X166" t="s">
        <v>94</v>
      </c>
      <c r="Y166" s="7">
        <f t="shared" si="14"/>
        <v>2.3986765922249794E-2</v>
      </c>
      <c r="Z166" s="7">
        <f t="shared" si="15"/>
        <v>0.93713813068651775</v>
      </c>
      <c r="AA166">
        <f t="shared" si="16"/>
        <v>172</v>
      </c>
      <c r="AB166" s="8">
        <f t="shared" si="17"/>
        <v>7404.5700000000006</v>
      </c>
      <c r="AC166">
        <f t="shared" si="18"/>
        <v>42.2</v>
      </c>
      <c r="AD166" t="str">
        <f t="shared" si="19"/>
        <v>Medium</v>
      </c>
      <c r="AE166" t="str">
        <f t="shared" si="20"/>
        <v>No</v>
      </c>
    </row>
    <row r="167" spans="1:31" x14ac:dyDescent="0.35">
      <c r="A167" t="s">
        <v>270</v>
      </c>
      <c r="B167" s="5">
        <v>46104</v>
      </c>
      <c r="C167" t="s">
        <v>224</v>
      </c>
      <c r="D167" t="s">
        <v>25</v>
      </c>
      <c r="E167" t="s">
        <v>89</v>
      </c>
      <c r="F167" t="s">
        <v>32</v>
      </c>
      <c r="G167" t="s">
        <v>85</v>
      </c>
      <c r="H167" t="s">
        <v>38</v>
      </c>
      <c r="I167" t="s">
        <v>44</v>
      </c>
      <c r="J167">
        <v>1401</v>
      </c>
      <c r="K167">
        <v>1228</v>
      </c>
      <c r="L167">
        <v>21</v>
      </c>
      <c r="M167">
        <v>8</v>
      </c>
      <c r="N167">
        <v>1220</v>
      </c>
      <c r="O167">
        <v>56.2</v>
      </c>
      <c r="P167">
        <v>12.8</v>
      </c>
      <c r="Q167" t="s">
        <v>80</v>
      </c>
      <c r="R167" t="s">
        <v>81</v>
      </c>
      <c r="S167" t="s">
        <v>100</v>
      </c>
      <c r="T167">
        <v>5</v>
      </c>
      <c r="U167">
        <v>0</v>
      </c>
      <c r="V167" s="6">
        <v>332.96</v>
      </c>
      <c r="W167" s="6">
        <v>4864.2</v>
      </c>
      <c r="X167" t="s">
        <v>94</v>
      </c>
      <c r="Y167" s="7">
        <f t="shared" si="14"/>
        <v>1.7100977198697069E-2</v>
      </c>
      <c r="Z167" s="7">
        <f t="shared" si="15"/>
        <v>0.99348534201954397</v>
      </c>
      <c r="AA167">
        <f t="shared" si="16"/>
        <v>173</v>
      </c>
      <c r="AB167" s="8">
        <f t="shared" si="17"/>
        <v>6992.16</v>
      </c>
      <c r="AC167">
        <f t="shared" si="18"/>
        <v>34</v>
      </c>
      <c r="AD167" t="str">
        <f t="shared" si="19"/>
        <v>Low</v>
      </c>
      <c r="AE167" t="str">
        <f t="shared" si="20"/>
        <v>No</v>
      </c>
    </row>
    <row r="168" spans="1:31" x14ac:dyDescent="0.35">
      <c r="A168" t="s">
        <v>271</v>
      </c>
      <c r="B168" s="5">
        <v>46104</v>
      </c>
      <c r="C168" t="s">
        <v>224</v>
      </c>
      <c r="D168" t="s">
        <v>24</v>
      </c>
      <c r="E168" t="s">
        <v>78</v>
      </c>
      <c r="F168" t="s">
        <v>29</v>
      </c>
      <c r="G168" t="s">
        <v>85</v>
      </c>
      <c r="H168" t="s">
        <v>39</v>
      </c>
      <c r="I168" t="s">
        <v>48</v>
      </c>
      <c r="J168">
        <v>1006</v>
      </c>
      <c r="K168">
        <v>990</v>
      </c>
      <c r="L168">
        <v>56</v>
      </c>
      <c r="M168">
        <v>38</v>
      </c>
      <c r="N168">
        <v>916</v>
      </c>
      <c r="O168">
        <v>47.2</v>
      </c>
      <c r="P168">
        <v>7</v>
      </c>
      <c r="Q168" t="s">
        <v>80</v>
      </c>
      <c r="R168" t="s">
        <v>81</v>
      </c>
      <c r="S168" t="s">
        <v>138</v>
      </c>
      <c r="T168">
        <v>11</v>
      </c>
      <c r="U168">
        <v>5</v>
      </c>
      <c r="V168" s="6">
        <v>301.54000000000002</v>
      </c>
      <c r="W168" s="6">
        <v>6407.52</v>
      </c>
      <c r="X168" t="s">
        <v>110</v>
      </c>
      <c r="Y168" s="7">
        <f t="shared" si="14"/>
        <v>5.6565656565656569E-2</v>
      </c>
      <c r="Z168" s="7">
        <f t="shared" si="15"/>
        <v>0.92525252525252522</v>
      </c>
      <c r="AA168">
        <f t="shared" si="16"/>
        <v>16</v>
      </c>
      <c r="AB168" s="8">
        <f t="shared" si="17"/>
        <v>16886.240000000002</v>
      </c>
      <c r="AC168">
        <f t="shared" si="18"/>
        <v>81</v>
      </c>
      <c r="AD168" t="str">
        <f t="shared" si="19"/>
        <v>High</v>
      </c>
      <c r="AE168" t="str">
        <f t="shared" si="20"/>
        <v>Yes</v>
      </c>
    </row>
    <row r="169" spans="1:31" x14ac:dyDescent="0.35">
      <c r="A169" t="s">
        <v>272</v>
      </c>
      <c r="B169" s="5">
        <v>46104</v>
      </c>
      <c r="C169" t="s">
        <v>224</v>
      </c>
      <c r="D169" t="s">
        <v>22</v>
      </c>
      <c r="E169" t="s">
        <v>93</v>
      </c>
      <c r="F169" t="s">
        <v>27</v>
      </c>
      <c r="G169" t="s">
        <v>85</v>
      </c>
      <c r="H169" t="s">
        <v>39</v>
      </c>
      <c r="I169" t="s">
        <v>48</v>
      </c>
      <c r="J169">
        <v>1244</v>
      </c>
      <c r="K169">
        <v>1075</v>
      </c>
      <c r="L169">
        <v>29</v>
      </c>
      <c r="M169">
        <v>14</v>
      </c>
      <c r="N169">
        <v>1006</v>
      </c>
      <c r="O169">
        <v>75.2</v>
      </c>
      <c r="P169">
        <v>9.1</v>
      </c>
      <c r="Q169" t="s">
        <v>80</v>
      </c>
      <c r="R169" t="s">
        <v>81</v>
      </c>
      <c r="S169" t="s">
        <v>82</v>
      </c>
      <c r="T169">
        <v>5</v>
      </c>
      <c r="U169">
        <v>2</v>
      </c>
      <c r="V169" s="6">
        <v>282.66000000000003</v>
      </c>
      <c r="W169" s="6">
        <v>4849.18</v>
      </c>
      <c r="X169" t="s">
        <v>83</v>
      </c>
      <c r="Y169" s="7">
        <f t="shared" si="14"/>
        <v>2.6976744186046512E-2</v>
      </c>
      <c r="Z169" s="7">
        <f t="shared" si="15"/>
        <v>0.93581395348837204</v>
      </c>
      <c r="AA169">
        <f t="shared" si="16"/>
        <v>169</v>
      </c>
      <c r="AB169" s="8">
        <f t="shared" si="17"/>
        <v>8197.1400000000012</v>
      </c>
      <c r="AC169">
        <f t="shared" si="18"/>
        <v>41.7</v>
      </c>
      <c r="AD169" t="str">
        <f t="shared" si="19"/>
        <v>Medium</v>
      </c>
      <c r="AE169" t="str">
        <f t="shared" si="20"/>
        <v>No</v>
      </c>
    </row>
    <row r="170" spans="1:31" x14ac:dyDescent="0.35">
      <c r="A170" t="s">
        <v>273</v>
      </c>
      <c r="B170" s="5">
        <v>46104</v>
      </c>
      <c r="C170" t="s">
        <v>224</v>
      </c>
      <c r="D170" t="s">
        <v>22</v>
      </c>
      <c r="E170" t="s">
        <v>93</v>
      </c>
      <c r="F170" t="s">
        <v>32</v>
      </c>
      <c r="G170" t="s">
        <v>85</v>
      </c>
      <c r="H170" t="s">
        <v>36</v>
      </c>
      <c r="I170" t="s">
        <v>42</v>
      </c>
      <c r="J170">
        <v>1035</v>
      </c>
      <c r="K170">
        <v>962</v>
      </c>
      <c r="L170">
        <v>13</v>
      </c>
      <c r="M170">
        <v>6</v>
      </c>
      <c r="N170">
        <v>920</v>
      </c>
      <c r="O170">
        <v>22.3</v>
      </c>
      <c r="P170">
        <v>10.5</v>
      </c>
      <c r="Q170" t="s">
        <v>86</v>
      </c>
      <c r="R170" t="s">
        <v>99</v>
      </c>
      <c r="S170" t="s">
        <v>82</v>
      </c>
      <c r="T170">
        <v>0</v>
      </c>
      <c r="U170">
        <v>3</v>
      </c>
      <c r="V170" s="6">
        <v>348.31</v>
      </c>
      <c r="W170" s="6">
        <v>1437.86</v>
      </c>
      <c r="X170" t="s">
        <v>83</v>
      </c>
      <c r="Y170" s="7">
        <f t="shared" si="14"/>
        <v>1.3513513513513514E-2</v>
      </c>
      <c r="Z170" s="7">
        <f t="shared" si="15"/>
        <v>0.95634095634095639</v>
      </c>
      <c r="AA170">
        <f t="shared" si="16"/>
        <v>73</v>
      </c>
      <c r="AB170" s="8">
        <f t="shared" si="17"/>
        <v>4528.03</v>
      </c>
      <c r="AC170">
        <f t="shared" si="18"/>
        <v>67.099999999999994</v>
      </c>
      <c r="AD170" t="str">
        <f t="shared" si="19"/>
        <v>High</v>
      </c>
      <c r="AE170" t="str">
        <f t="shared" si="20"/>
        <v>Yes</v>
      </c>
    </row>
    <row r="171" spans="1:31" x14ac:dyDescent="0.35">
      <c r="A171" t="s">
        <v>274</v>
      </c>
      <c r="B171" s="5">
        <v>46104</v>
      </c>
      <c r="C171" t="s">
        <v>224</v>
      </c>
      <c r="D171" t="s">
        <v>25</v>
      </c>
      <c r="E171" t="s">
        <v>89</v>
      </c>
      <c r="F171" t="s">
        <v>29</v>
      </c>
      <c r="G171" t="s">
        <v>79</v>
      </c>
      <c r="H171" t="s">
        <v>39</v>
      </c>
      <c r="I171" t="s">
        <v>46</v>
      </c>
      <c r="J171">
        <v>1521</v>
      </c>
      <c r="K171">
        <v>1348</v>
      </c>
      <c r="L171">
        <v>29</v>
      </c>
      <c r="M171">
        <v>19</v>
      </c>
      <c r="N171">
        <v>1225</v>
      </c>
      <c r="O171">
        <v>44.7</v>
      </c>
      <c r="P171">
        <v>0</v>
      </c>
      <c r="Q171" t="s">
        <v>80</v>
      </c>
      <c r="R171" t="s">
        <v>81</v>
      </c>
      <c r="S171" t="s">
        <v>82</v>
      </c>
      <c r="T171">
        <v>8</v>
      </c>
      <c r="U171">
        <v>0</v>
      </c>
      <c r="V171" s="6">
        <v>405.87</v>
      </c>
      <c r="W171" s="6">
        <v>5434.84</v>
      </c>
      <c r="X171" t="s">
        <v>151</v>
      </c>
      <c r="Y171" s="7">
        <f t="shared" si="14"/>
        <v>2.1513353115727003E-2</v>
      </c>
      <c r="Z171" s="7">
        <f t="shared" si="15"/>
        <v>0.90875370919881304</v>
      </c>
      <c r="AA171">
        <f t="shared" si="16"/>
        <v>173</v>
      </c>
      <c r="AB171" s="8">
        <f t="shared" si="17"/>
        <v>11770.23</v>
      </c>
      <c r="AC171">
        <f t="shared" si="18"/>
        <v>25.6</v>
      </c>
      <c r="AD171" t="str">
        <f t="shared" si="19"/>
        <v>Low</v>
      </c>
      <c r="AE171" t="str">
        <f t="shared" si="20"/>
        <v>No</v>
      </c>
    </row>
    <row r="172" spans="1:31" x14ac:dyDescent="0.35">
      <c r="A172" t="s">
        <v>275</v>
      </c>
      <c r="B172" s="5">
        <v>46104</v>
      </c>
      <c r="C172" t="s">
        <v>224</v>
      </c>
      <c r="D172" t="s">
        <v>24</v>
      </c>
      <c r="E172" t="s">
        <v>78</v>
      </c>
      <c r="F172" t="s">
        <v>27</v>
      </c>
      <c r="G172" t="s">
        <v>90</v>
      </c>
      <c r="H172" t="s">
        <v>37</v>
      </c>
      <c r="I172" t="s">
        <v>45</v>
      </c>
      <c r="J172">
        <v>1341</v>
      </c>
      <c r="K172">
        <v>1393</v>
      </c>
      <c r="L172">
        <v>52</v>
      </c>
      <c r="M172">
        <v>32</v>
      </c>
      <c r="N172">
        <v>1304</v>
      </c>
      <c r="O172">
        <v>62.5</v>
      </c>
      <c r="P172">
        <v>6.1</v>
      </c>
      <c r="Q172" t="s">
        <v>80</v>
      </c>
      <c r="R172" t="s">
        <v>81</v>
      </c>
      <c r="S172" t="s">
        <v>82</v>
      </c>
      <c r="T172">
        <v>9</v>
      </c>
      <c r="U172">
        <v>5</v>
      </c>
      <c r="V172" s="6">
        <v>60.03</v>
      </c>
      <c r="W172" s="6">
        <v>1161.02</v>
      </c>
      <c r="X172" t="s">
        <v>83</v>
      </c>
      <c r="Y172" s="7">
        <f t="shared" si="14"/>
        <v>3.7329504666188083E-2</v>
      </c>
      <c r="Z172" s="7">
        <f t="shared" si="15"/>
        <v>0.93610911701363964</v>
      </c>
      <c r="AA172">
        <f t="shared" si="16"/>
        <v>-52</v>
      </c>
      <c r="AB172" s="8">
        <f t="shared" si="17"/>
        <v>3121.56</v>
      </c>
      <c r="AC172">
        <f t="shared" si="18"/>
        <v>48.1</v>
      </c>
      <c r="AD172" t="str">
        <f t="shared" si="19"/>
        <v>Medium</v>
      </c>
      <c r="AE172" t="str">
        <f t="shared" si="20"/>
        <v>No</v>
      </c>
    </row>
    <row r="173" spans="1:31" x14ac:dyDescent="0.35">
      <c r="A173" t="s">
        <v>276</v>
      </c>
      <c r="B173" s="5">
        <v>46104</v>
      </c>
      <c r="C173" t="s">
        <v>224</v>
      </c>
      <c r="D173" t="s">
        <v>25</v>
      </c>
      <c r="E173" t="s">
        <v>89</v>
      </c>
      <c r="F173" t="s">
        <v>27</v>
      </c>
      <c r="G173" t="s">
        <v>85</v>
      </c>
      <c r="H173" t="s">
        <v>36</v>
      </c>
      <c r="I173" t="s">
        <v>44</v>
      </c>
      <c r="J173">
        <v>1505</v>
      </c>
      <c r="K173">
        <v>1310</v>
      </c>
      <c r="L173">
        <v>27</v>
      </c>
      <c r="M173">
        <v>20</v>
      </c>
      <c r="N173">
        <v>1291</v>
      </c>
      <c r="O173">
        <v>67</v>
      </c>
      <c r="P173">
        <v>12.3</v>
      </c>
      <c r="Q173" t="s">
        <v>80</v>
      </c>
      <c r="R173" t="s">
        <v>81</v>
      </c>
      <c r="S173" t="s">
        <v>82</v>
      </c>
      <c r="T173">
        <v>3</v>
      </c>
      <c r="U173">
        <v>4</v>
      </c>
      <c r="V173" s="6">
        <v>42.25</v>
      </c>
      <c r="W173" s="6">
        <v>414.16</v>
      </c>
      <c r="X173" t="s">
        <v>121</v>
      </c>
      <c r="Y173" s="7">
        <f t="shared" si="14"/>
        <v>2.0610687022900764E-2</v>
      </c>
      <c r="Z173" s="7">
        <f t="shared" si="15"/>
        <v>0.98549618320610688</v>
      </c>
      <c r="AA173">
        <f t="shared" si="16"/>
        <v>195</v>
      </c>
      <c r="AB173" s="8">
        <f t="shared" si="17"/>
        <v>1140.75</v>
      </c>
      <c r="AC173">
        <f t="shared" si="18"/>
        <v>37.299999999999997</v>
      </c>
      <c r="AD173" t="str">
        <f t="shared" si="19"/>
        <v>Low</v>
      </c>
      <c r="AE173" t="str">
        <f t="shared" si="20"/>
        <v>No</v>
      </c>
    </row>
    <row r="174" spans="1:31" x14ac:dyDescent="0.35">
      <c r="A174" t="s">
        <v>277</v>
      </c>
      <c r="B174" s="5">
        <v>46104</v>
      </c>
      <c r="C174" t="s">
        <v>224</v>
      </c>
      <c r="D174" t="s">
        <v>23</v>
      </c>
      <c r="E174" t="s">
        <v>78</v>
      </c>
      <c r="F174" t="s">
        <v>31</v>
      </c>
      <c r="G174" t="s">
        <v>85</v>
      </c>
      <c r="H174" t="s">
        <v>39</v>
      </c>
      <c r="I174" t="s">
        <v>42</v>
      </c>
      <c r="J174">
        <v>1157</v>
      </c>
      <c r="K174">
        <v>1102</v>
      </c>
      <c r="L174">
        <v>35</v>
      </c>
      <c r="M174">
        <v>19</v>
      </c>
      <c r="N174">
        <v>1070</v>
      </c>
      <c r="O174">
        <v>64.900000000000006</v>
      </c>
      <c r="P174">
        <v>5.5</v>
      </c>
      <c r="Q174" t="s">
        <v>80</v>
      </c>
      <c r="R174" t="s">
        <v>81</v>
      </c>
      <c r="S174" t="s">
        <v>82</v>
      </c>
      <c r="T174">
        <v>1</v>
      </c>
      <c r="U174">
        <v>6</v>
      </c>
      <c r="V174" s="6">
        <v>151.19999999999999</v>
      </c>
      <c r="W174" s="6">
        <v>1891.42</v>
      </c>
      <c r="X174" t="s">
        <v>91</v>
      </c>
      <c r="Y174" s="7">
        <f t="shared" si="14"/>
        <v>3.1760435571687839E-2</v>
      </c>
      <c r="Z174" s="7">
        <f t="shared" si="15"/>
        <v>0.97096188747731393</v>
      </c>
      <c r="AA174">
        <f t="shared" si="16"/>
        <v>55</v>
      </c>
      <c r="AB174" s="8">
        <f t="shared" si="17"/>
        <v>5292</v>
      </c>
      <c r="AC174">
        <f t="shared" si="18"/>
        <v>40.200000000000003</v>
      </c>
      <c r="AD174" t="str">
        <f t="shared" si="19"/>
        <v>Medium</v>
      </c>
      <c r="AE174" t="str">
        <f t="shared" si="20"/>
        <v>No</v>
      </c>
    </row>
    <row r="175" spans="1:31" x14ac:dyDescent="0.35">
      <c r="A175" t="s">
        <v>278</v>
      </c>
      <c r="B175" s="5">
        <v>46104</v>
      </c>
      <c r="C175" t="s">
        <v>224</v>
      </c>
      <c r="D175" t="s">
        <v>20</v>
      </c>
      <c r="E175" t="s">
        <v>78</v>
      </c>
      <c r="F175" t="s">
        <v>32</v>
      </c>
      <c r="G175" t="s">
        <v>85</v>
      </c>
      <c r="H175" t="s">
        <v>36</v>
      </c>
      <c r="I175" t="s">
        <v>42</v>
      </c>
      <c r="J175">
        <v>820</v>
      </c>
      <c r="K175">
        <v>733</v>
      </c>
      <c r="L175">
        <v>21</v>
      </c>
      <c r="M175">
        <v>13</v>
      </c>
      <c r="N175">
        <v>668</v>
      </c>
      <c r="O175">
        <v>66.2</v>
      </c>
      <c r="P175">
        <v>3.2</v>
      </c>
      <c r="Q175" t="s">
        <v>86</v>
      </c>
      <c r="R175" t="s">
        <v>81</v>
      </c>
      <c r="S175" t="s">
        <v>82</v>
      </c>
      <c r="T175">
        <v>0</v>
      </c>
      <c r="U175">
        <v>3</v>
      </c>
      <c r="V175" s="6">
        <v>374.33</v>
      </c>
      <c r="W175" s="6">
        <v>4386.18</v>
      </c>
      <c r="X175" t="s">
        <v>115</v>
      </c>
      <c r="Y175" s="7">
        <f t="shared" si="14"/>
        <v>2.8649386084583901E-2</v>
      </c>
      <c r="Z175" s="7">
        <f t="shared" si="15"/>
        <v>0.91132332878581168</v>
      </c>
      <c r="AA175">
        <f t="shared" si="16"/>
        <v>87</v>
      </c>
      <c r="AB175" s="8">
        <f t="shared" si="17"/>
        <v>7860.9299999999994</v>
      </c>
      <c r="AC175">
        <f t="shared" si="18"/>
        <v>54.8</v>
      </c>
      <c r="AD175" t="str">
        <f t="shared" si="19"/>
        <v>Medium</v>
      </c>
      <c r="AE175" t="str">
        <f t="shared" si="20"/>
        <v>Yes</v>
      </c>
    </row>
    <row r="176" spans="1:31" x14ac:dyDescent="0.35">
      <c r="A176" t="s">
        <v>279</v>
      </c>
      <c r="B176" s="5">
        <v>46104</v>
      </c>
      <c r="C176" t="s">
        <v>224</v>
      </c>
      <c r="D176" t="s">
        <v>25</v>
      </c>
      <c r="E176" t="s">
        <v>89</v>
      </c>
      <c r="F176" t="s">
        <v>27</v>
      </c>
      <c r="G176" t="s">
        <v>79</v>
      </c>
      <c r="H176" t="s">
        <v>39</v>
      </c>
      <c r="I176" t="s">
        <v>47</v>
      </c>
      <c r="J176">
        <v>879</v>
      </c>
      <c r="K176">
        <v>791</v>
      </c>
      <c r="L176">
        <v>11</v>
      </c>
      <c r="M176">
        <v>4</v>
      </c>
      <c r="N176">
        <v>746</v>
      </c>
      <c r="O176">
        <v>22.2</v>
      </c>
      <c r="P176">
        <v>1.5</v>
      </c>
      <c r="Q176" t="s">
        <v>80</v>
      </c>
      <c r="R176" t="s">
        <v>81</v>
      </c>
      <c r="S176" t="s">
        <v>82</v>
      </c>
      <c r="T176">
        <v>0</v>
      </c>
      <c r="U176">
        <v>0</v>
      </c>
      <c r="V176" s="6">
        <v>320.58999999999997</v>
      </c>
      <c r="W176" s="6">
        <v>2067.25</v>
      </c>
      <c r="X176" t="s">
        <v>151</v>
      </c>
      <c r="Y176" s="7">
        <f t="shared" si="14"/>
        <v>1.3906447534766119E-2</v>
      </c>
      <c r="Z176" s="7">
        <f t="shared" si="15"/>
        <v>0.94310998735777496</v>
      </c>
      <c r="AA176">
        <f t="shared" si="16"/>
        <v>88</v>
      </c>
      <c r="AB176" s="8">
        <f t="shared" si="17"/>
        <v>3526.49</v>
      </c>
      <c r="AC176">
        <f t="shared" si="18"/>
        <v>18.399999999999999</v>
      </c>
      <c r="AD176" t="str">
        <f t="shared" si="19"/>
        <v>Low</v>
      </c>
      <c r="AE176" t="str">
        <f t="shared" si="20"/>
        <v>No</v>
      </c>
    </row>
    <row r="177" spans="1:31" x14ac:dyDescent="0.35">
      <c r="A177" t="s">
        <v>280</v>
      </c>
      <c r="B177" s="5">
        <v>46104</v>
      </c>
      <c r="C177" t="s">
        <v>224</v>
      </c>
      <c r="D177" t="s">
        <v>23</v>
      </c>
      <c r="E177" t="s">
        <v>78</v>
      </c>
      <c r="F177" t="s">
        <v>32</v>
      </c>
      <c r="G177" t="s">
        <v>90</v>
      </c>
      <c r="H177" t="s">
        <v>37</v>
      </c>
      <c r="I177" t="s">
        <v>44</v>
      </c>
      <c r="J177">
        <v>796</v>
      </c>
      <c r="K177">
        <v>738</v>
      </c>
      <c r="L177">
        <v>21</v>
      </c>
      <c r="M177">
        <v>14</v>
      </c>
      <c r="N177">
        <v>673</v>
      </c>
      <c r="O177">
        <v>47.3</v>
      </c>
      <c r="P177">
        <v>6.7</v>
      </c>
      <c r="Q177" t="s">
        <v>80</v>
      </c>
      <c r="R177" t="s">
        <v>81</v>
      </c>
      <c r="S177" t="s">
        <v>82</v>
      </c>
      <c r="T177">
        <v>5</v>
      </c>
      <c r="U177">
        <v>1</v>
      </c>
      <c r="V177" s="6">
        <v>262.05</v>
      </c>
      <c r="W177" s="6">
        <v>2860.42</v>
      </c>
      <c r="X177" t="s">
        <v>87</v>
      </c>
      <c r="Y177" s="7">
        <f t="shared" si="14"/>
        <v>2.8455284552845527E-2</v>
      </c>
      <c r="Z177" s="7">
        <f t="shared" si="15"/>
        <v>0.91192411924119243</v>
      </c>
      <c r="AA177">
        <f t="shared" si="16"/>
        <v>58</v>
      </c>
      <c r="AB177" s="8">
        <f t="shared" si="17"/>
        <v>5503.05</v>
      </c>
      <c r="AC177">
        <f t="shared" si="18"/>
        <v>41.1</v>
      </c>
      <c r="AD177" t="str">
        <f t="shared" si="19"/>
        <v>Medium</v>
      </c>
      <c r="AE177" t="str">
        <f t="shared" si="20"/>
        <v>No</v>
      </c>
    </row>
    <row r="178" spans="1:31" x14ac:dyDescent="0.35">
      <c r="A178" t="s">
        <v>281</v>
      </c>
      <c r="B178" s="5">
        <v>46104</v>
      </c>
      <c r="C178" t="s">
        <v>224</v>
      </c>
      <c r="D178" t="s">
        <v>20</v>
      </c>
      <c r="E178" t="s">
        <v>78</v>
      </c>
      <c r="F178" t="s">
        <v>31</v>
      </c>
      <c r="G178" t="s">
        <v>85</v>
      </c>
      <c r="H178" t="s">
        <v>36</v>
      </c>
      <c r="I178" t="s">
        <v>46</v>
      </c>
      <c r="J178">
        <v>1369</v>
      </c>
      <c r="K178">
        <v>1249</v>
      </c>
      <c r="L178">
        <v>20</v>
      </c>
      <c r="M178">
        <v>15</v>
      </c>
      <c r="N178">
        <v>1233</v>
      </c>
      <c r="O178">
        <v>38.4</v>
      </c>
      <c r="P178">
        <v>5</v>
      </c>
      <c r="Q178" t="s">
        <v>80</v>
      </c>
      <c r="R178" t="s">
        <v>81</v>
      </c>
      <c r="S178" t="s">
        <v>82</v>
      </c>
      <c r="T178">
        <v>1</v>
      </c>
      <c r="U178">
        <v>3</v>
      </c>
      <c r="V178" s="6">
        <v>259.93</v>
      </c>
      <c r="W178" s="6">
        <v>1481.72</v>
      </c>
      <c r="X178" t="s">
        <v>121</v>
      </c>
      <c r="Y178" s="7">
        <f t="shared" si="14"/>
        <v>1.6012810248198558E-2</v>
      </c>
      <c r="Z178" s="7">
        <f t="shared" si="15"/>
        <v>0.9871897518014412</v>
      </c>
      <c r="AA178">
        <f t="shared" si="16"/>
        <v>120</v>
      </c>
      <c r="AB178" s="8">
        <f t="shared" si="17"/>
        <v>5198.6000000000004</v>
      </c>
      <c r="AC178">
        <f t="shared" si="18"/>
        <v>23.1</v>
      </c>
      <c r="AD178" t="str">
        <f t="shared" si="19"/>
        <v>Low</v>
      </c>
      <c r="AE178" t="str">
        <f t="shared" si="20"/>
        <v>No</v>
      </c>
    </row>
    <row r="179" spans="1:31" x14ac:dyDescent="0.35">
      <c r="A179" t="s">
        <v>282</v>
      </c>
      <c r="B179" s="5">
        <v>46104</v>
      </c>
      <c r="C179" t="s">
        <v>224</v>
      </c>
      <c r="D179" t="s">
        <v>24</v>
      </c>
      <c r="E179" t="s">
        <v>78</v>
      </c>
      <c r="F179" t="s">
        <v>27</v>
      </c>
      <c r="G179" t="s">
        <v>79</v>
      </c>
      <c r="H179" t="s">
        <v>37</v>
      </c>
      <c r="I179" t="s">
        <v>42</v>
      </c>
      <c r="J179">
        <v>1320</v>
      </c>
      <c r="K179">
        <v>1368</v>
      </c>
      <c r="L179">
        <v>19</v>
      </c>
      <c r="M179">
        <v>7</v>
      </c>
      <c r="N179">
        <v>1206</v>
      </c>
      <c r="O179">
        <v>36.799999999999997</v>
      </c>
      <c r="P179">
        <v>1.2</v>
      </c>
      <c r="Q179" t="s">
        <v>80</v>
      </c>
      <c r="R179" t="s">
        <v>81</v>
      </c>
      <c r="S179" t="s">
        <v>138</v>
      </c>
      <c r="T179">
        <v>0</v>
      </c>
      <c r="U179">
        <v>0</v>
      </c>
      <c r="V179" s="6">
        <v>32.94</v>
      </c>
      <c r="W179" s="6">
        <v>175.35</v>
      </c>
      <c r="X179" t="s">
        <v>115</v>
      </c>
      <c r="Y179" s="7">
        <f t="shared" si="14"/>
        <v>1.3888888888888888E-2</v>
      </c>
      <c r="Z179" s="7">
        <f t="shared" si="15"/>
        <v>0.88157894736842102</v>
      </c>
      <c r="AA179">
        <f t="shared" si="16"/>
        <v>-48</v>
      </c>
      <c r="AB179" s="8">
        <f t="shared" si="17"/>
        <v>625.8599999999999</v>
      </c>
      <c r="AC179">
        <f t="shared" si="18"/>
        <v>32.799999999999997</v>
      </c>
      <c r="AD179" t="str">
        <f t="shared" si="19"/>
        <v>Low</v>
      </c>
      <c r="AE179" t="str">
        <f t="shared" si="20"/>
        <v>Yes</v>
      </c>
    </row>
    <row r="180" spans="1:31" x14ac:dyDescent="0.35">
      <c r="A180" t="s">
        <v>283</v>
      </c>
      <c r="B180" s="5">
        <v>46104</v>
      </c>
      <c r="C180" t="s">
        <v>224</v>
      </c>
      <c r="D180" t="s">
        <v>22</v>
      </c>
      <c r="E180" t="s">
        <v>93</v>
      </c>
      <c r="F180" t="s">
        <v>30</v>
      </c>
      <c r="G180" t="s">
        <v>90</v>
      </c>
      <c r="H180" t="s">
        <v>38</v>
      </c>
      <c r="I180" t="s">
        <v>44</v>
      </c>
      <c r="J180">
        <v>1009</v>
      </c>
      <c r="K180">
        <v>976</v>
      </c>
      <c r="L180">
        <v>7</v>
      </c>
      <c r="M180">
        <v>2</v>
      </c>
      <c r="N180">
        <v>910</v>
      </c>
      <c r="O180">
        <v>59.9</v>
      </c>
      <c r="P180">
        <v>11</v>
      </c>
      <c r="Q180" t="s">
        <v>80</v>
      </c>
      <c r="R180" t="s">
        <v>81</v>
      </c>
      <c r="S180" t="s">
        <v>82</v>
      </c>
      <c r="T180">
        <v>2</v>
      </c>
      <c r="U180">
        <v>0</v>
      </c>
      <c r="V180" s="6">
        <v>263.64999999999998</v>
      </c>
      <c r="W180" s="6">
        <v>1378.13</v>
      </c>
      <c r="X180" t="s">
        <v>87</v>
      </c>
      <c r="Y180" s="7">
        <f t="shared" si="14"/>
        <v>7.1721311475409838E-3</v>
      </c>
      <c r="Z180" s="7">
        <f t="shared" si="15"/>
        <v>0.93237704918032782</v>
      </c>
      <c r="AA180">
        <f t="shared" si="16"/>
        <v>33</v>
      </c>
      <c r="AB180" s="8">
        <f t="shared" si="17"/>
        <v>1845.5499999999997</v>
      </c>
      <c r="AC180">
        <f t="shared" si="18"/>
        <v>24.5</v>
      </c>
      <c r="AD180" t="str">
        <f t="shared" si="19"/>
        <v>Low</v>
      </c>
      <c r="AE180" t="str">
        <f t="shared" si="20"/>
        <v>No</v>
      </c>
    </row>
    <row r="181" spans="1:31" x14ac:dyDescent="0.35">
      <c r="A181" t="s">
        <v>284</v>
      </c>
      <c r="B181" s="5">
        <v>46104</v>
      </c>
      <c r="C181" t="s">
        <v>224</v>
      </c>
      <c r="D181" t="s">
        <v>20</v>
      </c>
      <c r="E181" t="s">
        <v>78</v>
      </c>
      <c r="F181" t="s">
        <v>29</v>
      </c>
      <c r="G181" t="s">
        <v>90</v>
      </c>
      <c r="H181" t="s">
        <v>39</v>
      </c>
      <c r="I181" t="s">
        <v>48</v>
      </c>
      <c r="J181">
        <v>1428</v>
      </c>
      <c r="K181">
        <v>1410</v>
      </c>
      <c r="L181">
        <v>43</v>
      </c>
      <c r="M181">
        <v>27</v>
      </c>
      <c r="N181">
        <v>1267</v>
      </c>
      <c r="O181">
        <v>60.3</v>
      </c>
      <c r="P181">
        <v>0</v>
      </c>
      <c r="Q181" t="s">
        <v>86</v>
      </c>
      <c r="R181" t="s">
        <v>81</v>
      </c>
      <c r="S181" t="s">
        <v>82</v>
      </c>
      <c r="T181">
        <v>14</v>
      </c>
      <c r="U181">
        <v>4</v>
      </c>
      <c r="V181" s="6">
        <v>396.24</v>
      </c>
      <c r="W181" s="6">
        <v>12828.23</v>
      </c>
      <c r="X181" t="s">
        <v>94</v>
      </c>
      <c r="Y181" s="7">
        <f t="shared" si="14"/>
        <v>3.0496453900709219E-2</v>
      </c>
      <c r="Z181" s="7">
        <f t="shared" si="15"/>
        <v>0.89858156028368796</v>
      </c>
      <c r="AA181">
        <f t="shared" si="16"/>
        <v>18</v>
      </c>
      <c r="AB181" s="8">
        <f t="shared" si="17"/>
        <v>17038.32</v>
      </c>
      <c r="AC181">
        <f t="shared" si="18"/>
        <v>53.1</v>
      </c>
      <c r="AD181" t="str">
        <f t="shared" si="19"/>
        <v>Medium</v>
      </c>
      <c r="AE181" t="str">
        <f t="shared" si="20"/>
        <v>Yes</v>
      </c>
    </row>
    <row r="182" spans="1:31" x14ac:dyDescent="0.35">
      <c r="A182" t="s">
        <v>285</v>
      </c>
      <c r="B182" s="5">
        <v>46111</v>
      </c>
      <c r="C182" t="s">
        <v>224</v>
      </c>
      <c r="D182" t="s">
        <v>24</v>
      </c>
      <c r="E182" t="s">
        <v>78</v>
      </c>
      <c r="F182" t="s">
        <v>31</v>
      </c>
      <c r="G182" t="s">
        <v>90</v>
      </c>
      <c r="H182" t="s">
        <v>37</v>
      </c>
      <c r="I182" t="s">
        <v>45</v>
      </c>
      <c r="J182">
        <v>1307</v>
      </c>
      <c r="K182">
        <v>1242</v>
      </c>
      <c r="L182">
        <v>52</v>
      </c>
      <c r="M182">
        <v>23</v>
      </c>
      <c r="N182">
        <v>1213</v>
      </c>
      <c r="O182">
        <v>32.9</v>
      </c>
      <c r="P182">
        <v>8.8000000000000007</v>
      </c>
      <c r="Q182" t="s">
        <v>80</v>
      </c>
      <c r="R182" t="s">
        <v>81</v>
      </c>
      <c r="S182" t="s">
        <v>82</v>
      </c>
      <c r="T182">
        <v>7</v>
      </c>
      <c r="U182">
        <v>2</v>
      </c>
      <c r="V182" s="6">
        <v>415.32</v>
      </c>
      <c r="W182" s="6">
        <v>8783.1</v>
      </c>
      <c r="X182" t="s">
        <v>94</v>
      </c>
      <c r="Y182" s="7">
        <f t="shared" si="14"/>
        <v>4.1867954911433171E-2</v>
      </c>
      <c r="Z182" s="7">
        <f t="shared" si="15"/>
        <v>0.97665056360708535</v>
      </c>
      <c r="AA182">
        <f t="shared" si="16"/>
        <v>65</v>
      </c>
      <c r="AB182" s="8">
        <f t="shared" si="17"/>
        <v>21596.639999999999</v>
      </c>
      <c r="AC182">
        <f t="shared" si="18"/>
        <v>54.4</v>
      </c>
      <c r="AD182" t="str">
        <f t="shared" si="19"/>
        <v>Medium</v>
      </c>
      <c r="AE182" t="str">
        <f t="shared" si="20"/>
        <v>No</v>
      </c>
    </row>
    <row r="183" spans="1:31" x14ac:dyDescent="0.35">
      <c r="A183" t="s">
        <v>286</v>
      </c>
      <c r="B183" s="5">
        <v>46111</v>
      </c>
      <c r="C183" t="s">
        <v>224</v>
      </c>
      <c r="D183" t="s">
        <v>24</v>
      </c>
      <c r="E183" t="s">
        <v>78</v>
      </c>
      <c r="F183" t="s">
        <v>27</v>
      </c>
      <c r="G183" t="s">
        <v>85</v>
      </c>
      <c r="H183" t="s">
        <v>37</v>
      </c>
      <c r="I183" t="s">
        <v>45</v>
      </c>
      <c r="J183">
        <v>1164</v>
      </c>
      <c r="K183">
        <v>1048</v>
      </c>
      <c r="L183">
        <v>48</v>
      </c>
      <c r="M183">
        <v>20</v>
      </c>
      <c r="N183">
        <v>998</v>
      </c>
      <c r="O183">
        <v>72.5</v>
      </c>
      <c r="P183">
        <v>11.9</v>
      </c>
      <c r="Q183" t="s">
        <v>80</v>
      </c>
      <c r="R183" t="s">
        <v>81</v>
      </c>
      <c r="S183" t="s">
        <v>82</v>
      </c>
      <c r="T183">
        <v>12</v>
      </c>
      <c r="U183">
        <v>4</v>
      </c>
      <c r="V183" s="6">
        <v>190.15</v>
      </c>
      <c r="W183" s="6">
        <v>5855.15</v>
      </c>
      <c r="X183" t="s">
        <v>94</v>
      </c>
      <c r="Y183" s="7">
        <f t="shared" si="14"/>
        <v>4.5801526717557252E-2</v>
      </c>
      <c r="Z183" s="7">
        <f t="shared" si="15"/>
        <v>0.95229007633587781</v>
      </c>
      <c r="AA183">
        <f t="shared" si="16"/>
        <v>116</v>
      </c>
      <c r="AB183" s="8">
        <f t="shared" si="17"/>
        <v>9127.2000000000007</v>
      </c>
      <c r="AC183">
        <f t="shared" si="18"/>
        <v>63.4</v>
      </c>
      <c r="AD183" t="str">
        <f t="shared" si="19"/>
        <v>Medium</v>
      </c>
      <c r="AE183" t="str">
        <f t="shared" si="20"/>
        <v>No</v>
      </c>
    </row>
    <row r="184" spans="1:31" x14ac:dyDescent="0.35">
      <c r="A184" t="s">
        <v>287</v>
      </c>
      <c r="B184" s="5">
        <v>46111</v>
      </c>
      <c r="C184" t="s">
        <v>224</v>
      </c>
      <c r="D184" t="s">
        <v>22</v>
      </c>
      <c r="E184" t="s">
        <v>93</v>
      </c>
      <c r="F184" t="s">
        <v>27</v>
      </c>
      <c r="G184" t="s">
        <v>85</v>
      </c>
      <c r="H184" t="s">
        <v>40</v>
      </c>
      <c r="I184" t="s">
        <v>44</v>
      </c>
      <c r="J184">
        <v>963</v>
      </c>
      <c r="K184">
        <v>874</v>
      </c>
      <c r="L184">
        <v>13</v>
      </c>
      <c r="M184">
        <v>4</v>
      </c>
      <c r="N184">
        <v>860</v>
      </c>
      <c r="O184">
        <v>58.4</v>
      </c>
      <c r="P184">
        <v>8.8000000000000007</v>
      </c>
      <c r="Q184" t="s">
        <v>86</v>
      </c>
      <c r="R184" t="s">
        <v>81</v>
      </c>
      <c r="S184" t="s">
        <v>82</v>
      </c>
      <c r="T184">
        <v>0</v>
      </c>
      <c r="U184">
        <v>0</v>
      </c>
      <c r="V184" s="6">
        <v>217.19</v>
      </c>
      <c r="W184" s="6">
        <v>2212</v>
      </c>
      <c r="X184" t="s">
        <v>94</v>
      </c>
      <c r="Y184" s="7">
        <f t="shared" si="14"/>
        <v>1.4874141876430207E-2</v>
      </c>
      <c r="Z184" s="7">
        <f t="shared" si="15"/>
        <v>0.98398169336384445</v>
      </c>
      <c r="AA184">
        <f t="shared" si="16"/>
        <v>89</v>
      </c>
      <c r="AB184" s="8">
        <f t="shared" si="17"/>
        <v>2823.47</v>
      </c>
      <c r="AC184">
        <f t="shared" si="18"/>
        <v>45</v>
      </c>
      <c r="AD184" t="str">
        <f t="shared" si="19"/>
        <v>Medium</v>
      </c>
      <c r="AE184" t="str">
        <f t="shared" si="20"/>
        <v>Yes</v>
      </c>
    </row>
    <row r="185" spans="1:31" x14ac:dyDescent="0.35">
      <c r="A185" t="s">
        <v>288</v>
      </c>
      <c r="B185" s="5">
        <v>46111</v>
      </c>
      <c r="C185" t="s">
        <v>224</v>
      </c>
      <c r="D185" t="s">
        <v>25</v>
      </c>
      <c r="E185" t="s">
        <v>89</v>
      </c>
      <c r="F185" t="s">
        <v>30</v>
      </c>
      <c r="G185" t="s">
        <v>79</v>
      </c>
      <c r="H185" t="s">
        <v>36</v>
      </c>
      <c r="I185" t="s">
        <v>46</v>
      </c>
      <c r="J185">
        <v>1128</v>
      </c>
      <c r="K185">
        <v>1105</v>
      </c>
      <c r="L185">
        <v>13</v>
      </c>
      <c r="M185">
        <v>8</v>
      </c>
      <c r="N185">
        <v>1103</v>
      </c>
      <c r="O185">
        <v>48.3</v>
      </c>
      <c r="P185">
        <v>13.8</v>
      </c>
      <c r="Q185" t="s">
        <v>80</v>
      </c>
      <c r="R185" t="s">
        <v>81</v>
      </c>
      <c r="S185" t="s">
        <v>82</v>
      </c>
      <c r="T185">
        <v>8</v>
      </c>
      <c r="U185">
        <v>3</v>
      </c>
      <c r="V185" s="6">
        <v>438.71</v>
      </c>
      <c r="W185" s="6">
        <v>3491.25</v>
      </c>
      <c r="X185" t="s">
        <v>94</v>
      </c>
      <c r="Y185" s="7">
        <f t="shared" si="14"/>
        <v>1.1764705882352941E-2</v>
      </c>
      <c r="Z185" s="7">
        <f t="shared" si="15"/>
        <v>0.99819004524886878</v>
      </c>
      <c r="AA185">
        <f t="shared" si="16"/>
        <v>23</v>
      </c>
      <c r="AB185" s="8">
        <f t="shared" si="17"/>
        <v>5703.23</v>
      </c>
      <c r="AC185">
        <f t="shared" si="18"/>
        <v>29.8</v>
      </c>
      <c r="AD185" t="str">
        <f t="shared" si="19"/>
        <v>Low</v>
      </c>
      <c r="AE185" t="str">
        <f t="shared" si="20"/>
        <v>No</v>
      </c>
    </row>
    <row r="186" spans="1:31" x14ac:dyDescent="0.35">
      <c r="A186" t="s">
        <v>289</v>
      </c>
      <c r="B186" s="5">
        <v>46111</v>
      </c>
      <c r="C186" t="s">
        <v>224</v>
      </c>
      <c r="D186" t="s">
        <v>23</v>
      </c>
      <c r="E186" t="s">
        <v>78</v>
      </c>
      <c r="F186" t="s">
        <v>30</v>
      </c>
      <c r="G186" t="s">
        <v>90</v>
      </c>
      <c r="H186" t="s">
        <v>34</v>
      </c>
      <c r="I186" t="s">
        <v>42</v>
      </c>
      <c r="J186">
        <v>1405</v>
      </c>
      <c r="K186">
        <v>1190</v>
      </c>
      <c r="L186">
        <v>28</v>
      </c>
      <c r="M186">
        <v>10</v>
      </c>
      <c r="N186">
        <v>1064</v>
      </c>
      <c r="O186">
        <v>46.8</v>
      </c>
      <c r="P186">
        <v>0</v>
      </c>
      <c r="Q186" t="s">
        <v>80</v>
      </c>
      <c r="R186" t="s">
        <v>81</v>
      </c>
      <c r="S186" t="s">
        <v>82</v>
      </c>
      <c r="T186">
        <v>0</v>
      </c>
      <c r="U186">
        <v>0</v>
      </c>
      <c r="V186" s="6">
        <v>177.56</v>
      </c>
      <c r="W186" s="6">
        <v>3281.47</v>
      </c>
      <c r="X186" t="s">
        <v>94</v>
      </c>
      <c r="Y186" s="7">
        <f t="shared" si="14"/>
        <v>2.3529411764705882E-2</v>
      </c>
      <c r="Z186" s="7">
        <f t="shared" si="15"/>
        <v>0.89411764705882357</v>
      </c>
      <c r="AA186">
        <f t="shared" si="16"/>
        <v>215</v>
      </c>
      <c r="AB186" s="8">
        <f t="shared" si="17"/>
        <v>4971.68</v>
      </c>
      <c r="AC186">
        <f t="shared" si="18"/>
        <v>28.3</v>
      </c>
      <c r="AD186" t="str">
        <f t="shared" si="19"/>
        <v>Low</v>
      </c>
      <c r="AE186" t="str">
        <f t="shared" si="20"/>
        <v>No</v>
      </c>
    </row>
    <row r="187" spans="1:31" x14ac:dyDescent="0.35">
      <c r="A187" t="s">
        <v>290</v>
      </c>
      <c r="B187" s="5">
        <v>46111</v>
      </c>
      <c r="C187" t="s">
        <v>224</v>
      </c>
      <c r="D187" t="s">
        <v>23</v>
      </c>
      <c r="E187" t="s">
        <v>78</v>
      </c>
      <c r="F187" t="s">
        <v>27</v>
      </c>
      <c r="G187" t="s">
        <v>79</v>
      </c>
      <c r="H187" t="s">
        <v>40</v>
      </c>
      <c r="I187" t="s">
        <v>46</v>
      </c>
      <c r="J187">
        <v>1237</v>
      </c>
      <c r="K187">
        <v>1090</v>
      </c>
      <c r="L187">
        <v>21</v>
      </c>
      <c r="M187">
        <v>7</v>
      </c>
      <c r="N187">
        <v>1071</v>
      </c>
      <c r="O187">
        <v>42.3</v>
      </c>
      <c r="P187">
        <v>10.9</v>
      </c>
      <c r="Q187" t="s">
        <v>80</v>
      </c>
      <c r="R187" t="s">
        <v>81</v>
      </c>
      <c r="S187" t="s">
        <v>82</v>
      </c>
      <c r="T187">
        <v>0</v>
      </c>
      <c r="U187">
        <v>0</v>
      </c>
      <c r="V187" s="6">
        <v>299.77</v>
      </c>
      <c r="W187" s="6">
        <v>3209.41</v>
      </c>
      <c r="X187" t="s">
        <v>94</v>
      </c>
      <c r="Y187" s="7">
        <f t="shared" si="14"/>
        <v>1.9266055045871561E-2</v>
      </c>
      <c r="Z187" s="7">
        <f t="shared" si="15"/>
        <v>0.98256880733944951</v>
      </c>
      <c r="AA187">
        <f t="shared" si="16"/>
        <v>147</v>
      </c>
      <c r="AB187" s="8">
        <f t="shared" si="17"/>
        <v>6295.17</v>
      </c>
      <c r="AC187">
        <f t="shared" si="18"/>
        <v>34.200000000000003</v>
      </c>
      <c r="AD187" t="str">
        <f t="shared" si="19"/>
        <v>Low</v>
      </c>
      <c r="AE187" t="str">
        <f t="shared" si="20"/>
        <v>No</v>
      </c>
    </row>
    <row r="188" spans="1:31" x14ac:dyDescent="0.35">
      <c r="A188" t="s">
        <v>291</v>
      </c>
      <c r="B188" s="5">
        <v>46111</v>
      </c>
      <c r="C188" t="s">
        <v>224</v>
      </c>
      <c r="D188" t="s">
        <v>23</v>
      </c>
      <c r="E188" t="s">
        <v>78</v>
      </c>
      <c r="F188" t="s">
        <v>30</v>
      </c>
      <c r="G188" t="s">
        <v>79</v>
      </c>
      <c r="H188" t="s">
        <v>38</v>
      </c>
      <c r="I188" t="s">
        <v>44</v>
      </c>
      <c r="J188">
        <v>1299</v>
      </c>
      <c r="K188">
        <v>1237</v>
      </c>
      <c r="L188">
        <v>29</v>
      </c>
      <c r="M188">
        <v>11</v>
      </c>
      <c r="N188">
        <v>1218</v>
      </c>
      <c r="O188">
        <v>63.9</v>
      </c>
      <c r="P188">
        <v>12.8</v>
      </c>
      <c r="Q188" t="s">
        <v>80</v>
      </c>
      <c r="R188" t="s">
        <v>81</v>
      </c>
      <c r="S188" t="s">
        <v>82</v>
      </c>
      <c r="T188">
        <v>5</v>
      </c>
      <c r="U188">
        <v>3</v>
      </c>
      <c r="V188" s="6">
        <v>434.8</v>
      </c>
      <c r="W188" s="6">
        <v>8420.82</v>
      </c>
      <c r="X188" t="s">
        <v>151</v>
      </c>
      <c r="Y188" s="7">
        <f t="shared" si="14"/>
        <v>2.3443815683104285E-2</v>
      </c>
      <c r="Z188" s="7">
        <f t="shared" si="15"/>
        <v>0.98464025869037997</v>
      </c>
      <c r="AA188">
        <f t="shared" si="16"/>
        <v>62</v>
      </c>
      <c r="AB188" s="8">
        <f t="shared" si="17"/>
        <v>12609.2</v>
      </c>
      <c r="AC188">
        <f t="shared" si="18"/>
        <v>40.799999999999997</v>
      </c>
      <c r="AD188" t="str">
        <f t="shared" si="19"/>
        <v>Medium</v>
      </c>
      <c r="AE188" t="str">
        <f t="shared" si="20"/>
        <v>No</v>
      </c>
    </row>
    <row r="189" spans="1:31" x14ac:dyDescent="0.35">
      <c r="A189" t="s">
        <v>292</v>
      </c>
      <c r="B189" s="5">
        <v>46111</v>
      </c>
      <c r="C189" t="s">
        <v>224</v>
      </c>
      <c r="D189" t="s">
        <v>20</v>
      </c>
      <c r="E189" t="s">
        <v>78</v>
      </c>
      <c r="F189" t="s">
        <v>31</v>
      </c>
      <c r="G189" t="s">
        <v>79</v>
      </c>
      <c r="H189" t="s">
        <v>38</v>
      </c>
      <c r="I189" t="s">
        <v>44</v>
      </c>
      <c r="J189">
        <v>1021</v>
      </c>
      <c r="K189">
        <v>1001</v>
      </c>
      <c r="L189">
        <v>13</v>
      </c>
      <c r="M189">
        <v>7</v>
      </c>
      <c r="N189">
        <v>936</v>
      </c>
      <c r="O189">
        <v>54.3</v>
      </c>
      <c r="P189">
        <v>13</v>
      </c>
      <c r="Q189" t="s">
        <v>80</v>
      </c>
      <c r="R189" t="s">
        <v>81</v>
      </c>
      <c r="S189" t="s">
        <v>82</v>
      </c>
      <c r="T189">
        <v>1</v>
      </c>
      <c r="U189">
        <v>0</v>
      </c>
      <c r="V189" s="6">
        <v>76.36</v>
      </c>
      <c r="W189" s="6">
        <v>733.31</v>
      </c>
      <c r="X189" t="s">
        <v>94</v>
      </c>
      <c r="Y189" s="7">
        <f t="shared" si="14"/>
        <v>1.2987012987012988E-2</v>
      </c>
      <c r="Z189" s="7">
        <f t="shared" si="15"/>
        <v>0.93506493506493504</v>
      </c>
      <c r="AA189">
        <f t="shared" si="16"/>
        <v>20</v>
      </c>
      <c r="AB189" s="8">
        <f t="shared" si="17"/>
        <v>992.68</v>
      </c>
      <c r="AC189">
        <f t="shared" si="18"/>
        <v>32.799999999999997</v>
      </c>
      <c r="AD189" t="str">
        <f t="shared" si="19"/>
        <v>Low</v>
      </c>
      <c r="AE189" t="str">
        <f t="shared" si="20"/>
        <v>No</v>
      </c>
    </row>
    <row r="190" spans="1:31" x14ac:dyDescent="0.35">
      <c r="A190" t="s">
        <v>293</v>
      </c>
      <c r="B190" s="5">
        <v>46111</v>
      </c>
      <c r="C190" t="s">
        <v>224</v>
      </c>
      <c r="D190" t="s">
        <v>24</v>
      </c>
      <c r="E190" t="s">
        <v>78</v>
      </c>
      <c r="F190" t="s">
        <v>27</v>
      </c>
      <c r="G190" t="s">
        <v>79</v>
      </c>
      <c r="H190" t="s">
        <v>37</v>
      </c>
      <c r="I190" t="s">
        <v>46</v>
      </c>
      <c r="J190">
        <v>1034</v>
      </c>
      <c r="K190">
        <v>1043</v>
      </c>
      <c r="L190">
        <v>21</v>
      </c>
      <c r="M190">
        <v>13</v>
      </c>
      <c r="N190">
        <v>934</v>
      </c>
      <c r="O190">
        <v>18.5</v>
      </c>
      <c r="P190">
        <v>12.8</v>
      </c>
      <c r="Q190" t="s">
        <v>86</v>
      </c>
      <c r="R190" t="s">
        <v>81</v>
      </c>
      <c r="S190" t="s">
        <v>138</v>
      </c>
      <c r="T190">
        <v>6</v>
      </c>
      <c r="U190">
        <v>1</v>
      </c>
      <c r="V190" s="6">
        <v>121.24</v>
      </c>
      <c r="W190" s="6">
        <v>1144.9100000000001</v>
      </c>
      <c r="X190" t="s">
        <v>94</v>
      </c>
      <c r="Y190" s="7">
        <f t="shared" si="14"/>
        <v>2.0134228187919462E-2</v>
      </c>
      <c r="Z190" s="7">
        <f t="shared" si="15"/>
        <v>0.89549376797698943</v>
      </c>
      <c r="AA190">
        <f t="shared" si="16"/>
        <v>-9</v>
      </c>
      <c r="AB190" s="8">
        <f t="shared" si="17"/>
        <v>2546.04</v>
      </c>
      <c r="AC190">
        <f t="shared" si="18"/>
        <v>71.5</v>
      </c>
      <c r="AD190" t="str">
        <f t="shared" si="19"/>
        <v>High</v>
      </c>
      <c r="AE190" t="str">
        <f t="shared" si="20"/>
        <v>Yes</v>
      </c>
    </row>
    <row r="191" spans="1:31" x14ac:dyDescent="0.35">
      <c r="A191" t="s">
        <v>294</v>
      </c>
      <c r="B191" s="5">
        <v>46111</v>
      </c>
      <c r="C191" t="s">
        <v>224</v>
      </c>
      <c r="D191" t="s">
        <v>23</v>
      </c>
      <c r="E191" t="s">
        <v>78</v>
      </c>
      <c r="F191" t="s">
        <v>31</v>
      </c>
      <c r="G191" t="s">
        <v>79</v>
      </c>
      <c r="H191" t="s">
        <v>40</v>
      </c>
      <c r="I191" t="s">
        <v>42</v>
      </c>
      <c r="J191">
        <v>1284</v>
      </c>
      <c r="K191">
        <v>1109</v>
      </c>
      <c r="L191">
        <v>34</v>
      </c>
      <c r="M191">
        <v>19</v>
      </c>
      <c r="N191">
        <v>978</v>
      </c>
      <c r="O191">
        <v>67.8</v>
      </c>
      <c r="P191">
        <v>5.4</v>
      </c>
      <c r="Q191" t="s">
        <v>96</v>
      </c>
      <c r="R191" t="s">
        <v>81</v>
      </c>
      <c r="S191" t="s">
        <v>138</v>
      </c>
      <c r="T191">
        <v>2</v>
      </c>
      <c r="U191">
        <v>3</v>
      </c>
      <c r="V191" s="6">
        <v>110.13</v>
      </c>
      <c r="W191" s="6">
        <v>1484.18</v>
      </c>
      <c r="X191" t="s">
        <v>94</v>
      </c>
      <c r="Y191" s="7">
        <f t="shared" si="14"/>
        <v>3.0658250676284943E-2</v>
      </c>
      <c r="Z191" s="7">
        <f t="shared" si="15"/>
        <v>0.88187556357078445</v>
      </c>
      <c r="AA191">
        <f t="shared" si="16"/>
        <v>175</v>
      </c>
      <c r="AB191" s="8">
        <f t="shared" si="17"/>
        <v>3744.42</v>
      </c>
      <c r="AC191">
        <f t="shared" si="18"/>
        <v>65</v>
      </c>
      <c r="AD191" t="str">
        <f t="shared" si="19"/>
        <v>High</v>
      </c>
      <c r="AE191" t="str">
        <f t="shared" si="20"/>
        <v>Yes</v>
      </c>
    </row>
    <row r="192" spans="1:31" x14ac:dyDescent="0.35">
      <c r="A192" t="s">
        <v>295</v>
      </c>
      <c r="B192" s="5">
        <v>46111</v>
      </c>
      <c r="C192" t="s">
        <v>224</v>
      </c>
      <c r="D192" t="s">
        <v>22</v>
      </c>
      <c r="E192" t="s">
        <v>93</v>
      </c>
      <c r="F192" t="s">
        <v>29</v>
      </c>
      <c r="G192" t="s">
        <v>90</v>
      </c>
      <c r="H192" t="s">
        <v>40</v>
      </c>
      <c r="I192" t="s">
        <v>42</v>
      </c>
      <c r="J192">
        <v>820</v>
      </c>
      <c r="K192">
        <v>703</v>
      </c>
      <c r="L192">
        <v>16</v>
      </c>
      <c r="M192">
        <v>7</v>
      </c>
      <c r="N192">
        <v>640</v>
      </c>
      <c r="O192">
        <v>68</v>
      </c>
      <c r="P192">
        <v>4.9000000000000004</v>
      </c>
      <c r="Q192" t="s">
        <v>86</v>
      </c>
      <c r="R192" t="s">
        <v>81</v>
      </c>
      <c r="S192" t="s">
        <v>82</v>
      </c>
      <c r="T192">
        <v>4</v>
      </c>
      <c r="U192">
        <v>0</v>
      </c>
      <c r="V192" s="6">
        <v>151</v>
      </c>
      <c r="W192" s="6">
        <v>1778.57</v>
      </c>
      <c r="X192" t="s">
        <v>94</v>
      </c>
      <c r="Y192" s="7">
        <f t="shared" si="14"/>
        <v>2.2759601706970129E-2</v>
      </c>
      <c r="Z192" s="7">
        <f t="shared" si="15"/>
        <v>0.91038406827880514</v>
      </c>
      <c r="AA192">
        <f t="shared" si="16"/>
        <v>117</v>
      </c>
      <c r="AB192" s="8">
        <f t="shared" si="17"/>
        <v>2416</v>
      </c>
      <c r="AC192">
        <f t="shared" si="18"/>
        <v>51.2</v>
      </c>
      <c r="AD192" t="str">
        <f t="shared" si="19"/>
        <v>Medium</v>
      </c>
      <c r="AE192" t="str">
        <f t="shared" si="20"/>
        <v>Yes</v>
      </c>
    </row>
    <row r="193" spans="1:31" x14ac:dyDescent="0.35">
      <c r="A193" t="s">
        <v>296</v>
      </c>
      <c r="B193" s="5">
        <v>46111</v>
      </c>
      <c r="C193" t="s">
        <v>224</v>
      </c>
      <c r="D193" t="s">
        <v>20</v>
      </c>
      <c r="E193" t="s">
        <v>78</v>
      </c>
      <c r="F193" t="s">
        <v>31</v>
      </c>
      <c r="G193" t="s">
        <v>90</v>
      </c>
      <c r="H193" t="s">
        <v>36</v>
      </c>
      <c r="I193" t="s">
        <v>44</v>
      </c>
      <c r="J193">
        <v>867</v>
      </c>
      <c r="K193">
        <v>767</v>
      </c>
      <c r="L193">
        <v>15</v>
      </c>
      <c r="M193">
        <v>8</v>
      </c>
      <c r="N193">
        <v>719</v>
      </c>
      <c r="O193">
        <v>66</v>
      </c>
      <c r="P193">
        <v>0</v>
      </c>
      <c r="Q193" t="s">
        <v>80</v>
      </c>
      <c r="R193" t="s">
        <v>81</v>
      </c>
      <c r="S193" t="s">
        <v>100</v>
      </c>
      <c r="T193">
        <v>0</v>
      </c>
      <c r="U193">
        <v>4</v>
      </c>
      <c r="V193" s="6">
        <v>155.07</v>
      </c>
      <c r="W193" s="6">
        <v>792.25</v>
      </c>
      <c r="X193" t="s">
        <v>94</v>
      </c>
      <c r="Y193" s="7">
        <f t="shared" si="14"/>
        <v>1.955671447196871E-2</v>
      </c>
      <c r="Z193" s="7">
        <f t="shared" si="15"/>
        <v>0.93741851368970008</v>
      </c>
      <c r="AA193">
        <f t="shared" si="16"/>
        <v>100</v>
      </c>
      <c r="AB193" s="8">
        <f t="shared" si="17"/>
        <v>2326.0499999999997</v>
      </c>
      <c r="AC193">
        <f t="shared" si="18"/>
        <v>22.4</v>
      </c>
      <c r="AD193" t="str">
        <f t="shared" si="19"/>
        <v>Low</v>
      </c>
      <c r="AE193" t="str">
        <f t="shared" si="20"/>
        <v>No</v>
      </c>
    </row>
    <row r="194" spans="1:31" x14ac:dyDescent="0.35">
      <c r="A194" t="s">
        <v>297</v>
      </c>
      <c r="B194" s="5">
        <v>46111</v>
      </c>
      <c r="C194" t="s">
        <v>224</v>
      </c>
      <c r="D194" t="s">
        <v>24</v>
      </c>
      <c r="E194" t="s">
        <v>78</v>
      </c>
      <c r="F194" t="s">
        <v>32</v>
      </c>
      <c r="G194" t="s">
        <v>79</v>
      </c>
      <c r="H194" t="s">
        <v>40</v>
      </c>
      <c r="I194" t="s">
        <v>48</v>
      </c>
      <c r="J194">
        <v>1346</v>
      </c>
      <c r="K194">
        <v>1345</v>
      </c>
      <c r="L194">
        <v>29</v>
      </c>
      <c r="M194">
        <v>11</v>
      </c>
      <c r="N194">
        <v>1235</v>
      </c>
      <c r="O194">
        <v>68.3</v>
      </c>
      <c r="P194">
        <v>12.7</v>
      </c>
      <c r="Q194" t="s">
        <v>80</v>
      </c>
      <c r="R194" t="s">
        <v>81</v>
      </c>
      <c r="S194" t="s">
        <v>100</v>
      </c>
      <c r="T194">
        <v>5</v>
      </c>
      <c r="U194">
        <v>3</v>
      </c>
      <c r="V194" s="6">
        <v>361.43</v>
      </c>
      <c r="W194" s="6">
        <v>5576.65</v>
      </c>
      <c r="X194" t="s">
        <v>87</v>
      </c>
      <c r="Y194" s="7">
        <f t="shared" ref="Y194:Y257" si="21">IFERROR(L194/K194,0)</f>
        <v>2.1561338289962824E-2</v>
      </c>
      <c r="Z194" s="7">
        <f t="shared" ref="Z194:Z257" si="22">IFERROR(N194/K194,0)</f>
        <v>0.91821561338289959</v>
      </c>
      <c r="AA194">
        <f t="shared" ref="AA194:AA257" si="23">J194-K194</f>
        <v>1</v>
      </c>
      <c r="AB194" s="8">
        <f t="shared" ref="AB194:AB257" si="24">L194*V194</f>
        <v>10481.469999999999</v>
      </c>
      <c r="AC194">
        <f t="shared" ref="AC194:AC257" si="25">ROUND(MIN(100,(Y194*1000)+(1-Z194)*45+(P194*1.3)+IF(Q194="Late",18,IF(Q194="Pending",10,0))+IF(R194="Yes",20,0)+IF(S194="Decision Required",12,0)),1)</f>
        <v>41.8</v>
      </c>
      <c r="AD194" t="str">
        <f t="shared" ref="AD194:AD257" si="26">IF(AC194&gt;=65,"High",IF(AC194&gt;=40,"Medium","Low"))</f>
        <v>Medium</v>
      </c>
      <c r="AE194" t="str">
        <f t="shared" ref="AE194:AE257" si="27">IF(OR(AD194="High",Q194="Late",R194="Yes",S194="Decision Required"),"Yes","No")</f>
        <v>No</v>
      </c>
    </row>
    <row r="195" spans="1:31" x14ac:dyDescent="0.35">
      <c r="A195" t="s">
        <v>298</v>
      </c>
      <c r="B195" s="5">
        <v>46111</v>
      </c>
      <c r="C195" t="s">
        <v>224</v>
      </c>
      <c r="D195" t="s">
        <v>23</v>
      </c>
      <c r="E195" t="s">
        <v>78</v>
      </c>
      <c r="F195" t="s">
        <v>31</v>
      </c>
      <c r="G195" t="s">
        <v>79</v>
      </c>
      <c r="H195" t="s">
        <v>37</v>
      </c>
      <c r="I195" t="s">
        <v>42</v>
      </c>
      <c r="J195">
        <v>1093</v>
      </c>
      <c r="K195">
        <v>946</v>
      </c>
      <c r="L195">
        <v>23</v>
      </c>
      <c r="M195">
        <v>16</v>
      </c>
      <c r="N195">
        <v>927</v>
      </c>
      <c r="O195">
        <v>60.6</v>
      </c>
      <c r="P195">
        <v>5.7</v>
      </c>
      <c r="Q195" t="s">
        <v>96</v>
      </c>
      <c r="R195" t="s">
        <v>81</v>
      </c>
      <c r="S195" t="s">
        <v>82</v>
      </c>
      <c r="T195">
        <v>1</v>
      </c>
      <c r="U195">
        <v>0</v>
      </c>
      <c r="V195" s="6">
        <v>281.61</v>
      </c>
      <c r="W195" s="6">
        <v>4360.0600000000004</v>
      </c>
      <c r="X195" t="s">
        <v>94</v>
      </c>
      <c r="Y195" s="7">
        <f t="shared" si="21"/>
        <v>2.4312896405919663E-2</v>
      </c>
      <c r="Z195" s="7">
        <f t="shared" si="22"/>
        <v>0.97991543340380549</v>
      </c>
      <c r="AA195">
        <f t="shared" si="23"/>
        <v>147</v>
      </c>
      <c r="AB195" s="8">
        <f t="shared" si="24"/>
        <v>6477.0300000000007</v>
      </c>
      <c r="AC195">
        <f t="shared" si="25"/>
        <v>42.6</v>
      </c>
      <c r="AD195" t="str">
        <f t="shared" si="26"/>
        <v>Medium</v>
      </c>
      <c r="AE195" t="str">
        <f t="shared" si="27"/>
        <v>No</v>
      </c>
    </row>
    <row r="196" spans="1:31" x14ac:dyDescent="0.35">
      <c r="A196" t="s">
        <v>299</v>
      </c>
      <c r="B196" s="5">
        <v>46111</v>
      </c>
      <c r="C196" t="s">
        <v>224</v>
      </c>
      <c r="D196" t="s">
        <v>23</v>
      </c>
      <c r="E196" t="s">
        <v>78</v>
      </c>
      <c r="F196" t="s">
        <v>30</v>
      </c>
      <c r="G196" t="s">
        <v>79</v>
      </c>
      <c r="H196" t="s">
        <v>37</v>
      </c>
      <c r="I196" t="s">
        <v>44</v>
      </c>
      <c r="J196">
        <v>1544</v>
      </c>
      <c r="K196">
        <v>1448</v>
      </c>
      <c r="L196">
        <v>10</v>
      </c>
      <c r="M196">
        <v>6</v>
      </c>
      <c r="N196">
        <v>1390</v>
      </c>
      <c r="O196">
        <v>49.8</v>
      </c>
      <c r="P196">
        <v>0</v>
      </c>
      <c r="Q196" t="s">
        <v>80</v>
      </c>
      <c r="R196" t="s">
        <v>81</v>
      </c>
      <c r="S196" t="s">
        <v>82</v>
      </c>
      <c r="T196">
        <v>0</v>
      </c>
      <c r="U196">
        <v>0</v>
      </c>
      <c r="V196" s="6">
        <v>237.94</v>
      </c>
      <c r="W196" s="6">
        <v>631.59</v>
      </c>
      <c r="X196" t="s">
        <v>87</v>
      </c>
      <c r="Y196" s="7">
        <f t="shared" si="21"/>
        <v>6.9060773480662981E-3</v>
      </c>
      <c r="Z196" s="7">
        <f t="shared" si="22"/>
        <v>0.95994475138121549</v>
      </c>
      <c r="AA196">
        <f t="shared" si="23"/>
        <v>96</v>
      </c>
      <c r="AB196" s="8">
        <f t="shared" si="24"/>
        <v>2379.4</v>
      </c>
      <c r="AC196">
        <f t="shared" si="25"/>
        <v>8.6999999999999993</v>
      </c>
      <c r="AD196" t="str">
        <f t="shared" si="26"/>
        <v>Low</v>
      </c>
      <c r="AE196" t="str">
        <f t="shared" si="27"/>
        <v>No</v>
      </c>
    </row>
    <row r="197" spans="1:31" x14ac:dyDescent="0.35">
      <c r="A197" t="s">
        <v>300</v>
      </c>
      <c r="B197" s="5">
        <v>46118</v>
      </c>
      <c r="C197" t="s">
        <v>301</v>
      </c>
      <c r="D197" t="s">
        <v>20</v>
      </c>
      <c r="E197" t="s">
        <v>78</v>
      </c>
      <c r="F197" t="s">
        <v>31</v>
      </c>
      <c r="G197" t="s">
        <v>79</v>
      </c>
      <c r="H197" t="s">
        <v>36</v>
      </c>
      <c r="I197" t="s">
        <v>48</v>
      </c>
      <c r="J197">
        <v>1221</v>
      </c>
      <c r="K197">
        <v>1217</v>
      </c>
      <c r="L197">
        <v>47</v>
      </c>
      <c r="M197">
        <v>27</v>
      </c>
      <c r="N197">
        <v>1085</v>
      </c>
      <c r="O197">
        <v>41.2</v>
      </c>
      <c r="P197">
        <v>9.9</v>
      </c>
      <c r="Q197" t="s">
        <v>80</v>
      </c>
      <c r="R197" t="s">
        <v>81</v>
      </c>
      <c r="S197" t="s">
        <v>82</v>
      </c>
      <c r="T197">
        <v>15</v>
      </c>
      <c r="U197">
        <v>4</v>
      </c>
      <c r="V197" s="6">
        <v>99.37</v>
      </c>
      <c r="W197" s="6">
        <v>3656.8</v>
      </c>
      <c r="X197" t="s">
        <v>87</v>
      </c>
      <c r="Y197" s="7">
        <f t="shared" si="21"/>
        <v>3.8619556285949055E-2</v>
      </c>
      <c r="Z197" s="7">
        <f t="shared" si="22"/>
        <v>0.8915365653245686</v>
      </c>
      <c r="AA197">
        <f t="shared" si="23"/>
        <v>4</v>
      </c>
      <c r="AB197" s="8">
        <f t="shared" si="24"/>
        <v>4670.3900000000003</v>
      </c>
      <c r="AC197">
        <f t="shared" si="25"/>
        <v>56.4</v>
      </c>
      <c r="AD197" t="str">
        <f t="shared" si="26"/>
        <v>Medium</v>
      </c>
      <c r="AE197" t="str">
        <f t="shared" si="27"/>
        <v>No</v>
      </c>
    </row>
    <row r="198" spans="1:31" x14ac:dyDescent="0.35">
      <c r="A198" t="s">
        <v>302</v>
      </c>
      <c r="B198" s="5">
        <v>46118</v>
      </c>
      <c r="C198" t="s">
        <v>301</v>
      </c>
      <c r="D198" t="s">
        <v>25</v>
      </c>
      <c r="E198" t="s">
        <v>89</v>
      </c>
      <c r="F198" t="s">
        <v>30</v>
      </c>
      <c r="G198" t="s">
        <v>90</v>
      </c>
      <c r="H198" t="s">
        <v>37</v>
      </c>
      <c r="I198" t="s">
        <v>44</v>
      </c>
      <c r="J198">
        <v>1412</v>
      </c>
      <c r="K198">
        <v>1267</v>
      </c>
      <c r="L198">
        <v>37</v>
      </c>
      <c r="M198">
        <v>15</v>
      </c>
      <c r="N198">
        <v>1164</v>
      </c>
      <c r="O198">
        <v>52.8</v>
      </c>
      <c r="P198">
        <v>14.9</v>
      </c>
      <c r="Q198" t="s">
        <v>80</v>
      </c>
      <c r="R198" t="s">
        <v>81</v>
      </c>
      <c r="S198" t="s">
        <v>82</v>
      </c>
      <c r="T198">
        <v>6</v>
      </c>
      <c r="U198">
        <v>0</v>
      </c>
      <c r="V198" s="6">
        <v>136.13</v>
      </c>
      <c r="W198" s="6">
        <v>2293.44</v>
      </c>
      <c r="X198" t="s">
        <v>94</v>
      </c>
      <c r="Y198" s="7">
        <f t="shared" si="21"/>
        <v>2.9202841357537489E-2</v>
      </c>
      <c r="Z198" s="7">
        <f t="shared" si="22"/>
        <v>0.91870560378847677</v>
      </c>
      <c r="AA198">
        <f t="shared" si="23"/>
        <v>145</v>
      </c>
      <c r="AB198" s="8">
        <f t="shared" si="24"/>
        <v>5036.8099999999995</v>
      </c>
      <c r="AC198">
        <f t="shared" si="25"/>
        <v>52.2</v>
      </c>
      <c r="AD198" t="str">
        <f t="shared" si="26"/>
        <v>Medium</v>
      </c>
      <c r="AE198" t="str">
        <f t="shared" si="27"/>
        <v>No</v>
      </c>
    </row>
    <row r="199" spans="1:31" x14ac:dyDescent="0.35">
      <c r="A199" t="s">
        <v>303</v>
      </c>
      <c r="B199" s="5">
        <v>46118</v>
      </c>
      <c r="C199" t="s">
        <v>301</v>
      </c>
      <c r="D199" t="s">
        <v>23</v>
      </c>
      <c r="E199" t="s">
        <v>78</v>
      </c>
      <c r="F199" t="s">
        <v>31</v>
      </c>
      <c r="G199" t="s">
        <v>79</v>
      </c>
      <c r="H199" t="s">
        <v>34</v>
      </c>
      <c r="I199" t="s">
        <v>48</v>
      </c>
      <c r="J199">
        <v>1243</v>
      </c>
      <c r="K199">
        <v>1165</v>
      </c>
      <c r="L199">
        <v>43</v>
      </c>
      <c r="M199">
        <v>28</v>
      </c>
      <c r="N199">
        <v>1055</v>
      </c>
      <c r="O199">
        <v>73.7</v>
      </c>
      <c r="P199">
        <v>7.2</v>
      </c>
      <c r="Q199" t="s">
        <v>80</v>
      </c>
      <c r="R199" t="s">
        <v>81</v>
      </c>
      <c r="S199" t="s">
        <v>100</v>
      </c>
      <c r="T199">
        <v>8</v>
      </c>
      <c r="U199">
        <v>3</v>
      </c>
      <c r="V199" s="6">
        <v>448.77</v>
      </c>
      <c r="W199" s="6">
        <v>7791.17</v>
      </c>
      <c r="X199" t="s">
        <v>83</v>
      </c>
      <c r="Y199" s="7">
        <f t="shared" si="21"/>
        <v>3.6909871244635191E-2</v>
      </c>
      <c r="Z199" s="7">
        <f t="shared" si="22"/>
        <v>0.90557939914163088</v>
      </c>
      <c r="AA199">
        <f t="shared" si="23"/>
        <v>78</v>
      </c>
      <c r="AB199" s="8">
        <f t="shared" si="24"/>
        <v>19297.11</v>
      </c>
      <c r="AC199">
        <f t="shared" si="25"/>
        <v>50.5</v>
      </c>
      <c r="AD199" t="str">
        <f t="shared" si="26"/>
        <v>Medium</v>
      </c>
      <c r="AE199" t="str">
        <f t="shared" si="27"/>
        <v>No</v>
      </c>
    </row>
    <row r="200" spans="1:31" x14ac:dyDescent="0.35">
      <c r="A200" t="s">
        <v>304</v>
      </c>
      <c r="B200" s="5">
        <v>46118</v>
      </c>
      <c r="C200" t="s">
        <v>301</v>
      </c>
      <c r="D200" t="s">
        <v>24</v>
      </c>
      <c r="E200" t="s">
        <v>78</v>
      </c>
      <c r="F200" t="s">
        <v>29</v>
      </c>
      <c r="G200" t="s">
        <v>79</v>
      </c>
      <c r="H200" t="s">
        <v>37</v>
      </c>
      <c r="I200" t="s">
        <v>48</v>
      </c>
      <c r="J200">
        <v>1488</v>
      </c>
      <c r="K200">
        <v>1330</v>
      </c>
      <c r="L200">
        <v>9</v>
      </c>
      <c r="M200">
        <v>3</v>
      </c>
      <c r="N200">
        <v>1175</v>
      </c>
      <c r="O200">
        <v>27.1</v>
      </c>
      <c r="P200">
        <v>8.6999999999999993</v>
      </c>
      <c r="Q200" t="s">
        <v>80</v>
      </c>
      <c r="R200" t="s">
        <v>81</v>
      </c>
      <c r="S200" t="s">
        <v>82</v>
      </c>
      <c r="T200">
        <v>6</v>
      </c>
      <c r="U200">
        <v>1</v>
      </c>
      <c r="V200" s="6">
        <v>45.02</v>
      </c>
      <c r="W200" s="6">
        <v>158.33000000000001</v>
      </c>
      <c r="X200" t="s">
        <v>151</v>
      </c>
      <c r="Y200" s="7">
        <f t="shared" si="21"/>
        <v>6.7669172932330827E-3</v>
      </c>
      <c r="Z200" s="7">
        <f t="shared" si="22"/>
        <v>0.88345864661654139</v>
      </c>
      <c r="AA200">
        <f t="shared" si="23"/>
        <v>158</v>
      </c>
      <c r="AB200" s="8">
        <f t="shared" si="24"/>
        <v>405.18</v>
      </c>
      <c r="AC200">
        <f t="shared" si="25"/>
        <v>23.3</v>
      </c>
      <c r="AD200" t="str">
        <f t="shared" si="26"/>
        <v>Low</v>
      </c>
      <c r="AE200" t="str">
        <f t="shared" si="27"/>
        <v>No</v>
      </c>
    </row>
    <row r="201" spans="1:31" x14ac:dyDescent="0.35">
      <c r="A201" t="s">
        <v>305</v>
      </c>
      <c r="B201" s="5">
        <v>46118</v>
      </c>
      <c r="C201" t="s">
        <v>301</v>
      </c>
      <c r="D201" t="s">
        <v>20</v>
      </c>
      <c r="E201" t="s">
        <v>78</v>
      </c>
      <c r="F201" t="s">
        <v>29</v>
      </c>
      <c r="G201" t="s">
        <v>90</v>
      </c>
      <c r="H201" t="s">
        <v>39</v>
      </c>
      <c r="I201" t="s">
        <v>42</v>
      </c>
      <c r="J201">
        <v>1144</v>
      </c>
      <c r="K201">
        <v>1148</v>
      </c>
      <c r="L201">
        <v>420</v>
      </c>
      <c r="M201">
        <v>5</v>
      </c>
      <c r="N201">
        <v>1018</v>
      </c>
      <c r="O201">
        <v>21.4</v>
      </c>
      <c r="P201">
        <v>96</v>
      </c>
      <c r="Q201" t="s">
        <v>80</v>
      </c>
      <c r="R201" t="s">
        <v>99</v>
      </c>
      <c r="S201" t="s">
        <v>100</v>
      </c>
      <c r="T201">
        <v>2</v>
      </c>
      <c r="U201">
        <v>0</v>
      </c>
      <c r="V201" s="6">
        <v>1450</v>
      </c>
      <c r="W201" s="6">
        <v>609000</v>
      </c>
      <c r="X201" t="s">
        <v>306</v>
      </c>
      <c r="Y201" s="7">
        <f t="shared" si="21"/>
        <v>0.36585365853658536</v>
      </c>
      <c r="Z201" s="7">
        <f t="shared" si="22"/>
        <v>0.88675958188153314</v>
      </c>
      <c r="AA201">
        <f t="shared" si="23"/>
        <v>-4</v>
      </c>
      <c r="AB201" s="8">
        <f t="shared" si="24"/>
        <v>609000</v>
      </c>
      <c r="AC201">
        <f t="shared" si="25"/>
        <v>100</v>
      </c>
      <c r="AD201" t="str">
        <f t="shared" si="26"/>
        <v>High</v>
      </c>
      <c r="AE201" t="str">
        <f t="shared" si="27"/>
        <v>Yes</v>
      </c>
    </row>
    <row r="202" spans="1:31" x14ac:dyDescent="0.35">
      <c r="A202" t="s">
        <v>307</v>
      </c>
      <c r="B202" s="5">
        <v>46118</v>
      </c>
      <c r="C202" t="s">
        <v>301</v>
      </c>
      <c r="D202" t="s">
        <v>22</v>
      </c>
      <c r="E202" t="s">
        <v>93</v>
      </c>
      <c r="F202" t="s">
        <v>32</v>
      </c>
      <c r="G202" t="s">
        <v>90</v>
      </c>
      <c r="H202" t="s">
        <v>40</v>
      </c>
      <c r="I202" t="s">
        <v>44</v>
      </c>
      <c r="J202">
        <v>1360</v>
      </c>
      <c r="K202">
        <v>1244</v>
      </c>
      <c r="L202">
        <v>31</v>
      </c>
      <c r="M202">
        <v>23</v>
      </c>
      <c r="N202">
        <v>1224</v>
      </c>
      <c r="O202">
        <v>66.2</v>
      </c>
      <c r="P202">
        <v>17</v>
      </c>
      <c r="Q202" t="s">
        <v>80</v>
      </c>
      <c r="R202" t="s">
        <v>81</v>
      </c>
      <c r="S202" t="s">
        <v>82</v>
      </c>
      <c r="T202">
        <v>6</v>
      </c>
      <c r="U202">
        <v>4</v>
      </c>
      <c r="V202" s="6">
        <v>368.13</v>
      </c>
      <c r="W202" s="6">
        <v>3128.4</v>
      </c>
      <c r="X202" t="s">
        <v>94</v>
      </c>
      <c r="Y202" s="7">
        <f t="shared" si="21"/>
        <v>2.4919614147909969E-2</v>
      </c>
      <c r="Z202" s="7">
        <f t="shared" si="22"/>
        <v>0.98392282958199362</v>
      </c>
      <c r="AA202">
        <f t="shared" si="23"/>
        <v>116</v>
      </c>
      <c r="AB202" s="8">
        <f t="shared" si="24"/>
        <v>11412.03</v>
      </c>
      <c r="AC202">
        <f t="shared" si="25"/>
        <v>47.7</v>
      </c>
      <c r="AD202" t="str">
        <f t="shared" si="26"/>
        <v>Medium</v>
      </c>
      <c r="AE202" t="str">
        <f t="shared" si="27"/>
        <v>No</v>
      </c>
    </row>
    <row r="203" spans="1:31" x14ac:dyDescent="0.35">
      <c r="A203" t="s">
        <v>308</v>
      </c>
      <c r="B203" s="5">
        <v>46118</v>
      </c>
      <c r="C203" t="s">
        <v>301</v>
      </c>
      <c r="D203" t="s">
        <v>23</v>
      </c>
      <c r="E203" t="s">
        <v>78</v>
      </c>
      <c r="F203" t="s">
        <v>30</v>
      </c>
      <c r="G203" t="s">
        <v>85</v>
      </c>
      <c r="H203" t="s">
        <v>34</v>
      </c>
      <c r="I203" t="s">
        <v>46</v>
      </c>
      <c r="J203">
        <v>791</v>
      </c>
      <c r="K203">
        <v>702</v>
      </c>
      <c r="L203">
        <v>11</v>
      </c>
      <c r="M203">
        <v>5</v>
      </c>
      <c r="N203">
        <v>697</v>
      </c>
      <c r="O203">
        <v>55.1</v>
      </c>
      <c r="P203">
        <v>9.8000000000000007</v>
      </c>
      <c r="Q203" t="s">
        <v>80</v>
      </c>
      <c r="R203" t="s">
        <v>81</v>
      </c>
      <c r="S203" t="s">
        <v>138</v>
      </c>
      <c r="T203">
        <v>0</v>
      </c>
      <c r="U203">
        <v>0</v>
      </c>
      <c r="V203" s="6">
        <v>348.71</v>
      </c>
      <c r="W203" s="6">
        <v>1442.96</v>
      </c>
      <c r="X203" t="s">
        <v>94</v>
      </c>
      <c r="Y203" s="7">
        <f t="shared" si="21"/>
        <v>1.5669515669515671E-2</v>
      </c>
      <c r="Z203" s="7">
        <f t="shared" si="22"/>
        <v>0.99287749287749283</v>
      </c>
      <c r="AA203">
        <f t="shared" si="23"/>
        <v>89</v>
      </c>
      <c r="AB203" s="8">
        <f t="shared" si="24"/>
        <v>3835.81</v>
      </c>
      <c r="AC203">
        <f t="shared" si="25"/>
        <v>40.700000000000003</v>
      </c>
      <c r="AD203" t="str">
        <f t="shared" si="26"/>
        <v>Medium</v>
      </c>
      <c r="AE203" t="str">
        <f t="shared" si="27"/>
        <v>Yes</v>
      </c>
    </row>
    <row r="204" spans="1:31" x14ac:dyDescent="0.35">
      <c r="A204" t="s">
        <v>309</v>
      </c>
      <c r="B204" s="5">
        <v>46118</v>
      </c>
      <c r="C204" t="s">
        <v>301</v>
      </c>
      <c r="D204" t="s">
        <v>23</v>
      </c>
      <c r="E204" t="s">
        <v>78</v>
      </c>
      <c r="F204" t="s">
        <v>27</v>
      </c>
      <c r="G204" t="s">
        <v>90</v>
      </c>
      <c r="H204" t="s">
        <v>40</v>
      </c>
      <c r="I204" t="s">
        <v>45</v>
      </c>
      <c r="J204">
        <v>1443</v>
      </c>
      <c r="K204">
        <v>1339</v>
      </c>
      <c r="L204">
        <v>48</v>
      </c>
      <c r="M204">
        <v>22</v>
      </c>
      <c r="N204">
        <v>1327</v>
      </c>
      <c r="O204">
        <v>39.9</v>
      </c>
      <c r="P204">
        <v>3.2</v>
      </c>
      <c r="Q204" t="s">
        <v>86</v>
      </c>
      <c r="R204" t="s">
        <v>81</v>
      </c>
      <c r="S204" t="s">
        <v>82</v>
      </c>
      <c r="T204">
        <v>9</v>
      </c>
      <c r="U204">
        <v>5</v>
      </c>
      <c r="V204" s="6">
        <v>147.87</v>
      </c>
      <c r="W204" s="6">
        <v>4615.66</v>
      </c>
      <c r="X204" t="s">
        <v>121</v>
      </c>
      <c r="Y204" s="7">
        <f t="shared" si="21"/>
        <v>3.5847647498132934E-2</v>
      </c>
      <c r="Z204" s="7">
        <f t="shared" si="22"/>
        <v>0.99103808812546679</v>
      </c>
      <c r="AA204">
        <f t="shared" si="23"/>
        <v>104</v>
      </c>
      <c r="AB204" s="8">
        <f t="shared" si="24"/>
        <v>7097.76</v>
      </c>
      <c r="AC204">
        <f t="shared" si="25"/>
        <v>58.4</v>
      </c>
      <c r="AD204" t="str">
        <f t="shared" si="26"/>
        <v>Medium</v>
      </c>
      <c r="AE204" t="str">
        <f t="shared" si="27"/>
        <v>Yes</v>
      </c>
    </row>
    <row r="205" spans="1:31" x14ac:dyDescent="0.35">
      <c r="A205" t="s">
        <v>310</v>
      </c>
      <c r="B205" s="5">
        <v>46118</v>
      </c>
      <c r="C205" t="s">
        <v>301</v>
      </c>
      <c r="D205" t="s">
        <v>20</v>
      </c>
      <c r="E205" t="s">
        <v>78</v>
      </c>
      <c r="F205" t="s">
        <v>32</v>
      </c>
      <c r="G205" t="s">
        <v>90</v>
      </c>
      <c r="H205" t="s">
        <v>40</v>
      </c>
      <c r="I205" t="s">
        <v>47</v>
      </c>
      <c r="J205">
        <v>780</v>
      </c>
      <c r="K205">
        <v>761</v>
      </c>
      <c r="L205">
        <v>15</v>
      </c>
      <c r="M205">
        <v>9</v>
      </c>
      <c r="N205">
        <v>752</v>
      </c>
      <c r="O205">
        <v>20</v>
      </c>
      <c r="P205">
        <v>9.8000000000000007</v>
      </c>
      <c r="Q205" t="s">
        <v>80</v>
      </c>
      <c r="R205" t="s">
        <v>81</v>
      </c>
      <c r="S205" t="s">
        <v>82</v>
      </c>
      <c r="T205">
        <v>2</v>
      </c>
      <c r="U205">
        <v>0</v>
      </c>
      <c r="V205" s="6">
        <v>352.03</v>
      </c>
      <c r="W205" s="6">
        <v>2132.4699999999998</v>
      </c>
      <c r="X205" t="s">
        <v>94</v>
      </c>
      <c r="Y205" s="7">
        <f t="shared" si="21"/>
        <v>1.9710906701708279E-2</v>
      </c>
      <c r="Z205" s="7">
        <f t="shared" si="22"/>
        <v>0.98817345597897499</v>
      </c>
      <c r="AA205">
        <f t="shared" si="23"/>
        <v>19</v>
      </c>
      <c r="AB205" s="8">
        <f t="shared" si="24"/>
        <v>5280.45</v>
      </c>
      <c r="AC205">
        <f t="shared" si="25"/>
        <v>33</v>
      </c>
      <c r="AD205" t="str">
        <f t="shared" si="26"/>
        <v>Low</v>
      </c>
      <c r="AE205" t="str">
        <f t="shared" si="27"/>
        <v>No</v>
      </c>
    </row>
    <row r="206" spans="1:31" x14ac:dyDescent="0.35">
      <c r="A206" t="s">
        <v>311</v>
      </c>
      <c r="B206" s="5">
        <v>46118</v>
      </c>
      <c r="C206" t="s">
        <v>301</v>
      </c>
      <c r="D206" t="s">
        <v>24</v>
      </c>
      <c r="E206" t="s">
        <v>78</v>
      </c>
      <c r="F206" t="s">
        <v>27</v>
      </c>
      <c r="G206" t="s">
        <v>85</v>
      </c>
      <c r="H206" t="s">
        <v>34</v>
      </c>
      <c r="I206" t="s">
        <v>45</v>
      </c>
      <c r="J206">
        <v>996</v>
      </c>
      <c r="K206">
        <v>1000</v>
      </c>
      <c r="L206">
        <v>33</v>
      </c>
      <c r="M206">
        <v>13</v>
      </c>
      <c r="N206">
        <v>905</v>
      </c>
      <c r="O206">
        <v>73</v>
      </c>
      <c r="P206">
        <v>4.0999999999999996</v>
      </c>
      <c r="Q206" t="s">
        <v>80</v>
      </c>
      <c r="R206" t="s">
        <v>81</v>
      </c>
      <c r="S206" t="s">
        <v>82</v>
      </c>
      <c r="T206">
        <v>9</v>
      </c>
      <c r="U206">
        <v>5</v>
      </c>
      <c r="V206" s="6">
        <v>59.25</v>
      </c>
      <c r="W206" s="6">
        <v>1354.05</v>
      </c>
      <c r="X206" t="s">
        <v>151</v>
      </c>
      <c r="Y206" s="7">
        <f t="shared" si="21"/>
        <v>3.3000000000000002E-2</v>
      </c>
      <c r="Z206" s="7">
        <f t="shared" si="22"/>
        <v>0.90500000000000003</v>
      </c>
      <c r="AA206">
        <f t="shared" si="23"/>
        <v>-4</v>
      </c>
      <c r="AB206" s="8">
        <f t="shared" si="24"/>
        <v>1955.25</v>
      </c>
      <c r="AC206">
        <f t="shared" si="25"/>
        <v>42.6</v>
      </c>
      <c r="AD206" t="str">
        <f t="shared" si="26"/>
        <v>Medium</v>
      </c>
      <c r="AE206" t="str">
        <f t="shared" si="27"/>
        <v>No</v>
      </c>
    </row>
    <row r="207" spans="1:31" x14ac:dyDescent="0.35">
      <c r="A207" t="s">
        <v>312</v>
      </c>
      <c r="B207" s="5">
        <v>46118</v>
      </c>
      <c r="C207" t="s">
        <v>301</v>
      </c>
      <c r="D207" t="s">
        <v>25</v>
      </c>
      <c r="E207" t="s">
        <v>89</v>
      </c>
      <c r="F207" t="s">
        <v>27</v>
      </c>
      <c r="G207" t="s">
        <v>85</v>
      </c>
      <c r="H207" t="s">
        <v>36</v>
      </c>
      <c r="I207" t="s">
        <v>47</v>
      </c>
      <c r="J207">
        <v>958</v>
      </c>
      <c r="K207">
        <v>817</v>
      </c>
      <c r="L207">
        <v>14</v>
      </c>
      <c r="M207">
        <v>9</v>
      </c>
      <c r="N207">
        <v>796</v>
      </c>
      <c r="O207">
        <v>63.1</v>
      </c>
      <c r="P207">
        <v>10.5</v>
      </c>
      <c r="Q207" t="s">
        <v>86</v>
      </c>
      <c r="R207" t="s">
        <v>81</v>
      </c>
      <c r="S207" t="s">
        <v>82</v>
      </c>
      <c r="T207">
        <v>2</v>
      </c>
      <c r="U207">
        <v>0</v>
      </c>
      <c r="V207" s="6">
        <v>169.34</v>
      </c>
      <c r="W207" s="6">
        <v>913.83</v>
      </c>
      <c r="X207" t="s">
        <v>94</v>
      </c>
      <c r="Y207" s="7">
        <f t="shared" si="21"/>
        <v>1.7135862913096694E-2</v>
      </c>
      <c r="Z207" s="7">
        <f t="shared" si="22"/>
        <v>0.97429620563035491</v>
      </c>
      <c r="AA207">
        <f t="shared" si="23"/>
        <v>141</v>
      </c>
      <c r="AB207" s="8">
        <f t="shared" si="24"/>
        <v>2370.7600000000002</v>
      </c>
      <c r="AC207">
        <f t="shared" si="25"/>
        <v>49.9</v>
      </c>
      <c r="AD207" t="str">
        <f t="shared" si="26"/>
        <v>Medium</v>
      </c>
      <c r="AE207" t="str">
        <f t="shared" si="27"/>
        <v>Yes</v>
      </c>
    </row>
    <row r="208" spans="1:31" x14ac:dyDescent="0.35">
      <c r="A208" t="s">
        <v>313</v>
      </c>
      <c r="B208" s="5">
        <v>46118</v>
      </c>
      <c r="C208" t="s">
        <v>301</v>
      </c>
      <c r="D208" t="s">
        <v>23</v>
      </c>
      <c r="E208" t="s">
        <v>78</v>
      </c>
      <c r="F208" t="s">
        <v>29</v>
      </c>
      <c r="G208" t="s">
        <v>90</v>
      </c>
      <c r="H208" t="s">
        <v>40</v>
      </c>
      <c r="I208" t="s">
        <v>42</v>
      </c>
      <c r="J208">
        <v>1459</v>
      </c>
      <c r="K208">
        <v>1319</v>
      </c>
      <c r="L208">
        <v>32</v>
      </c>
      <c r="M208">
        <v>25</v>
      </c>
      <c r="N208">
        <v>1284</v>
      </c>
      <c r="O208">
        <v>30.3</v>
      </c>
      <c r="P208">
        <v>4.7</v>
      </c>
      <c r="Q208" t="s">
        <v>80</v>
      </c>
      <c r="R208" t="s">
        <v>81</v>
      </c>
      <c r="S208" t="s">
        <v>82</v>
      </c>
      <c r="T208">
        <v>3</v>
      </c>
      <c r="U208">
        <v>8</v>
      </c>
      <c r="V208" s="6">
        <v>190.02</v>
      </c>
      <c r="W208" s="6">
        <v>2347.98</v>
      </c>
      <c r="X208" t="s">
        <v>115</v>
      </c>
      <c r="Y208" s="7">
        <f t="shared" si="21"/>
        <v>2.4260803639120546E-2</v>
      </c>
      <c r="Z208" s="7">
        <f t="shared" si="22"/>
        <v>0.97346474601971189</v>
      </c>
      <c r="AA208">
        <f t="shared" si="23"/>
        <v>140</v>
      </c>
      <c r="AB208" s="8">
        <f t="shared" si="24"/>
        <v>6080.64</v>
      </c>
      <c r="AC208">
        <f t="shared" si="25"/>
        <v>31.6</v>
      </c>
      <c r="AD208" t="str">
        <f t="shared" si="26"/>
        <v>Low</v>
      </c>
      <c r="AE208" t="str">
        <f t="shared" si="27"/>
        <v>No</v>
      </c>
    </row>
    <row r="209" spans="1:31" x14ac:dyDescent="0.35">
      <c r="A209" t="s">
        <v>314</v>
      </c>
      <c r="B209" s="5">
        <v>46118</v>
      </c>
      <c r="C209" t="s">
        <v>301</v>
      </c>
      <c r="D209" t="s">
        <v>22</v>
      </c>
      <c r="E209" t="s">
        <v>93</v>
      </c>
      <c r="F209" t="s">
        <v>27</v>
      </c>
      <c r="G209" t="s">
        <v>85</v>
      </c>
      <c r="H209" t="s">
        <v>40</v>
      </c>
      <c r="I209" t="s">
        <v>47</v>
      </c>
      <c r="J209">
        <v>1167</v>
      </c>
      <c r="K209">
        <v>1099</v>
      </c>
      <c r="L209">
        <v>20</v>
      </c>
      <c r="M209">
        <v>10</v>
      </c>
      <c r="N209">
        <v>1087</v>
      </c>
      <c r="O209">
        <v>49.9</v>
      </c>
      <c r="P209">
        <v>7.9</v>
      </c>
      <c r="Q209" t="s">
        <v>86</v>
      </c>
      <c r="R209" t="s">
        <v>81</v>
      </c>
      <c r="S209" t="s">
        <v>82</v>
      </c>
      <c r="T209">
        <v>4</v>
      </c>
      <c r="U209">
        <v>2</v>
      </c>
      <c r="V209" s="6">
        <v>168.29</v>
      </c>
      <c r="W209" s="6">
        <v>2070.5</v>
      </c>
      <c r="X209" t="s">
        <v>151</v>
      </c>
      <c r="Y209" s="7">
        <f t="shared" si="21"/>
        <v>1.8198362147406732E-2</v>
      </c>
      <c r="Z209" s="7">
        <f t="shared" si="22"/>
        <v>0.98908098271155598</v>
      </c>
      <c r="AA209">
        <f t="shared" si="23"/>
        <v>68</v>
      </c>
      <c r="AB209" s="8">
        <f t="shared" si="24"/>
        <v>3365.7999999999997</v>
      </c>
      <c r="AC209">
        <f t="shared" si="25"/>
        <v>47</v>
      </c>
      <c r="AD209" t="str">
        <f t="shared" si="26"/>
        <v>Medium</v>
      </c>
      <c r="AE209" t="str">
        <f t="shared" si="27"/>
        <v>Yes</v>
      </c>
    </row>
    <row r="210" spans="1:31" x14ac:dyDescent="0.35">
      <c r="A210" t="s">
        <v>315</v>
      </c>
      <c r="B210" s="5">
        <v>46118</v>
      </c>
      <c r="C210" t="s">
        <v>301</v>
      </c>
      <c r="D210" t="s">
        <v>22</v>
      </c>
      <c r="E210" t="s">
        <v>93</v>
      </c>
      <c r="F210" t="s">
        <v>32</v>
      </c>
      <c r="G210" t="s">
        <v>85</v>
      </c>
      <c r="H210" t="s">
        <v>39</v>
      </c>
      <c r="I210" t="s">
        <v>42</v>
      </c>
      <c r="J210">
        <v>906</v>
      </c>
      <c r="K210">
        <v>855</v>
      </c>
      <c r="L210">
        <v>25</v>
      </c>
      <c r="M210">
        <v>9</v>
      </c>
      <c r="N210">
        <v>816</v>
      </c>
      <c r="O210">
        <v>72.400000000000006</v>
      </c>
      <c r="P210">
        <v>0</v>
      </c>
      <c r="Q210" t="s">
        <v>80</v>
      </c>
      <c r="R210" t="s">
        <v>81</v>
      </c>
      <c r="S210" t="s">
        <v>82</v>
      </c>
      <c r="T210">
        <v>5</v>
      </c>
      <c r="U210">
        <v>2</v>
      </c>
      <c r="V210" s="6">
        <v>383.73</v>
      </c>
      <c r="W210" s="6">
        <v>6484.03</v>
      </c>
      <c r="X210" t="s">
        <v>94</v>
      </c>
      <c r="Y210" s="7">
        <f t="shared" si="21"/>
        <v>2.9239766081871343E-2</v>
      </c>
      <c r="Z210" s="7">
        <f t="shared" si="22"/>
        <v>0.95438596491228067</v>
      </c>
      <c r="AA210">
        <f t="shared" si="23"/>
        <v>51</v>
      </c>
      <c r="AB210" s="8">
        <f t="shared" si="24"/>
        <v>9593.25</v>
      </c>
      <c r="AC210">
        <f t="shared" si="25"/>
        <v>31.3</v>
      </c>
      <c r="AD210" t="str">
        <f t="shared" si="26"/>
        <v>Low</v>
      </c>
      <c r="AE210" t="str">
        <f t="shared" si="27"/>
        <v>No</v>
      </c>
    </row>
    <row r="211" spans="1:31" x14ac:dyDescent="0.35">
      <c r="A211" t="s">
        <v>316</v>
      </c>
      <c r="B211" s="5">
        <v>46118</v>
      </c>
      <c r="C211" t="s">
        <v>301</v>
      </c>
      <c r="D211" t="s">
        <v>20</v>
      </c>
      <c r="E211" t="s">
        <v>78</v>
      </c>
      <c r="F211" t="s">
        <v>30</v>
      </c>
      <c r="G211" t="s">
        <v>79</v>
      </c>
      <c r="H211" t="s">
        <v>37</v>
      </c>
      <c r="I211" t="s">
        <v>47</v>
      </c>
      <c r="J211">
        <v>1434</v>
      </c>
      <c r="K211">
        <v>1436</v>
      </c>
      <c r="L211">
        <v>46</v>
      </c>
      <c r="M211">
        <v>25</v>
      </c>
      <c r="N211">
        <v>1383</v>
      </c>
      <c r="O211">
        <v>36.1</v>
      </c>
      <c r="P211">
        <v>16.100000000000001</v>
      </c>
      <c r="Q211" t="s">
        <v>80</v>
      </c>
      <c r="R211" t="s">
        <v>81</v>
      </c>
      <c r="S211" t="s">
        <v>82</v>
      </c>
      <c r="T211">
        <v>5</v>
      </c>
      <c r="U211">
        <v>4</v>
      </c>
      <c r="V211" s="6">
        <v>184.16</v>
      </c>
      <c r="W211" s="6">
        <v>4391.45</v>
      </c>
      <c r="X211" t="s">
        <v>94</v>
      </c>
      <c r="Y211" s="7">
        <f t="shared" si="21"/>
        <v>3.2033426183844013E-2</v>
      </c>
      <c r="Z211" s="7">
        <f t="shared" si="22"/>
        <v>0.96309192200557103</v>
      </c>
      <c r="AA211">
        <f t="shared" si="23"/>
        <v>-2</v>
      </c>
      <c r="AB211" s="8">
        <f t="shared" si="24"/>
        <v>8471.36</v>
      </c>
      <c r="AC211">
        <f t="shared" si="25"/>
        <v>54.6</v>
      </c>
      <c r="AD211" t="str">
        <f t="shared" si="26"/>
        <v>Medium</v>
      </c>
      <c r="AE211" t="str">
        <f t="shared" si="27"/>
        <v>No</v>
      </c>
    </row>
    <row r="212" spans="1:31" x14ac:dyDescent="0.35">
      <c r="A212" t="s">
        <v>317</v>
      </c>
      <c r="B212" s="5">
        <v>46125</v>
      </c>
      <c r="C212" t="s">
        <v>301</v>
      </c>
      <c r="D212" t="s">
        <v>23</v>
      </c>
      <c r="E212" t="s">
        <v>78</v>
      </c>
      <c r="F212" t="s">
        <v>29</v>
      </c>
      <c r="G212" t="s">
        <v>85</v>
      </c>
      <c r="H212" t="s">
        <v>40</v>
      </c>
      <c r="I212" t="s">
        <v>48</v>
      </c>
      <c r="J212">
        <v>816</v>
      </c>
      <c r="K212">
        <v>692</v>
      </c>
      <c r="L212">
        <v>21</v>
      </c>
      <c r="M212">
        <v>12</v>
      </c>
      <c r="N212">
        <v>617</v>
      </c>
      <c r="O212">
        <v>62</v>
      </c>
      <c r="P212">
        <v>12.6</v>
      </c>
      <c r="Q212" t="s">
        <v>80</v>
      </c>
      <c r="R212" t="s">
        <v>81</v>
      </c>
      <c r="S212" t="s">
        <v>82</v>
      </c>
      <c r="T212">
        <v>7</v>
      </c>
      <c r="U212">
        <v>0</v>
      </c>
      <c r="V212" s="6">
        <v>174.51</v>
      </c>
      <c r="W212" s="6">
        <v>2215.54</v>
      </c>
      <c r="X212" t="s">
        <v>94</v>
      </c>
      <c r="Y212" s="7">
        <f t="shared" si="21"/>
        <v>3.0346820809248554E-2</v>
      </c>
      <c r="Z212" s="7">
        <f t="shared" si="22"/>
        <v>0.89161849710982655</v>
      </c>
      <c r="AA212">
        <f t="shared" si="23"/>
        <v>124</v>
      </c>
      <c r="AB212" s="8">
        <f t="shared" si="24"/>
        <v>3664.71</v>
      </c>
      <c r="AC212">
        <f t="shared" si="25"/>
        <v>51.6</v>
      </c>
      <c r="AD212" t="str">
        <f t="shared" si="26"/>
        <v>Medium</v>
      </c>
      <c r="AE212" t="str">
        <f t="shared" si="27"/>
        <v>No</v>
      </c>
    </row>
    <row r="213" spans="1:31" x14ac:dyDescent="0.35">
      <c r="A213" t="s">
        <v>318</v>
      </c>
      <c r="B213" s="5">
        <v>46125</v>
      </c>
      <c r="C213" t="s">
        <v>301</v>
      </c>
      <c r="D213" t="s">
        <v>25</v>
      </c>
      <c r="E213" t="s">
        <v>89</v>
      </c>
      <c r="F213" t="s">
        <v>27</v>
      </c>
      <c r="G213" t="s">
        <v>90</v>
      </c>
      <c r="H213" t="s">
        <v>34</v>
      </c>
      <c r="I213" t="s">
        <v>42</v>
      </c>
      <c r="J213">
        <v>1100</v>
      </c>
      <c r="K213">
        <v>945</v>
      </c>
      <c r="L213">
        <v>22</v>
      </c>
      <c r="M213">
        <v>13</v>
      </c>
      <c r="N213">
        <v>865</v>
      </c>
      <c r="O213">
        <v>21.8</v>
      </c>
      <c r="P213">
        <v>18.7</v>
      </c>
      <c r="Q213" t="s">
        <v>80</v>
      </c>
      <c r="R213" t="s">
        <v>81</v>
      </c>
      <c r="S213" t="s">
        <v>82</v>
      </c>
      <c r="T213">
        <v>0</v>
      </c>
      <c r="U213">
        <v>3</v>
      </c>
      <c r="V213" s="6">
        <v>176.8</v>
      </c>
      <c r="W213" s="6">
        <v>1705.63</v>
      </c>
      <c r="X213" t="s">
        <v>151</v>
      </c>
      <c r="Y213" s="7">
        <f t="shared" si="21"/>
        <v>2.328042328042328E-2</v>
      </c>
      <c r="Z213" s="7">
        <f t="shared" si="22"/>
        <v>0.91534391534391535</v>
      </c>
      <c r="AA213">
        <f t="shared" si="23"/>
        <v>155</v>
      </c>
      <c r="AB213" s="8">
        <f t="shared" si="24"/>
        <v>3889.6000000000004</v>
      </c>
      <c r="AC213">
        <f t="shared" si="25"/>
        <v>51.4</v>
      </c>
      <c r="AD213" t="str">
        <f t="shared" si="26"/>
        <v>Medium</v>
      </c>
      <c r="AE213" t="str">
        <f t="shared" si="27"/>
        <v>No</v>
      </c>
    </row>
    <row r="214" spans="1:31" x14ac:dyDescent="0.35">
      <c r="A214" t="s">
        <v>319</v>
      </c>
      <c r="B214" s="5">
        <v>46125</v>
      </c>
      <c r="C214" t="s">
        <v>301</v>
      </c>
      <c r="D214" t="s">
        <v>20</v>
      </c>
      <c r="E214" t="s">
        <v>78</v>
      </c>
      <c r="F214" t="s">
        <v>31</v>
      </c>
      <c r="G214" t="s">
        <v>90</v>
      </c>
      <c r="H214" t="s">
        <v>40</v>
      </c>
      <c r="I214" t="s">
        <v>42</v>
      </c>
      <c r="J214">
        <v>1218</v>
      </c>
      <c r="K214">
        <v>1181</v>
      </c>
      <c r="L214">
        <v>33</v>
      </c>
      <c r="M214">
        <v>13</v>
      </c>
      <c r="N214">
        <v>1111</v>
      </c>
      <c r="O214">
        <v>30</v>
      </c>
      <c r="P214">
        <v>1.5</v>
      </c>
      <c r="Q214" t="s">
        <v>80</v>
      </c>
      <c r="R214" t="s">
        <v>81</v>
      </c>
      <c r="S214" t="s">
        <v>82</v>
      </c>
      <c r="T214">
        <v>7</v>
      </c>
      <c r="U214">
        <v>6</v>
      </c>
      <c r="V214" s="6">
        <v>174.19</v>
      </c>
      <c r="W214" s="6">
        <v>3443.85</v>
      </c>
      <c r="X214" t="s">
        <v>151</v>
      </c>
      <c r="Y214" s="7">
        <f t="shared" si="21"/>
        <v>2.7942421676545301E-2</v>
      </c>
      <c r="Z214" s="7">
        <f t="shared" si="22"/>
        <v>0.94072819644369177</v>
      </c>
      <c r="AA214">
        <f t="shared" si="23"/>
        <v>37</v>
      </c>
      <c r="AB214" s="8">
        <f t="shared" si="24"/>
        <v>5748.2699999999995</v>
      </c>
      <c r="AC214">
        <f t="shared" si="25"/>
        <v>32.6</v>
      </c>
      <c r="AD214" t="str">
        <f t="shared" si="26"/>
        <v>Low</v>
      </c>
      <c r="AE214" t="str">
        <f t="shared" si="27"/>
        <v>No</v>
      </c>
    </row>
    <row r="215" spans="1:31" x14ac:dyDescent="0.35">
      <c r="A215" t="s">
        <v>320</v>
      </c>
      <c r="B215" s="5">
        <v>46125</v>
      </c>
      <c r="C215" t="s">
        <v>301</v>
      </c>
      <c r="D215" t="s">
        <v>20</v>
      </c>
      <c r="E215" t="s">
        <v>78</v>
      </c>
      <c r="F215" t="s">
        <v>32</v>
      </c>
      <c r="G215" t="s">
        <v>79</v>
      </c>
      <c r="H215" t="s">
        <v>34</v>
      </c>
      <c r="I215" t="s">
        <v>44</v>
      </c>
      <c r="J215">
        <v>1006</v>
      </c>
      <c r="K215">
        <v>927</v>
      </c>
      <c r="L215">
        <v>23</v>
      </c>
      <c r="M215">
        <v>11</v>
      </c>
      <c r="N215">
        <v>918</v>
      </c>
      <c r="O215">
        <v>20.399999999999999</v>
      </c>
      <c r="P215">
        <v>13.8</v>
      </c>
      <c r="Q215" t="s">
        <v>80</v>
      </c>
      <c r="R215" t="s">
        <v>81</v>
      </c>
      <c r="S215" t="s">
        <v>82</v>
      </c>
      <c r="T215">
        <v>4</v>
      </c>
      <c r="U215">
        <v>5</v>
      </c>
      <c r="V215" s="6">
        <v>116.26</v>
      </c>
      <c r="W215" s="6">
        <v>1587.22</v>
      </c>
      <c r="X215" t="s">
        <v>115</v>
      </c>
      <c r="Y215" s="7">
        <f t="shared" si="21"/>
        <v>2.4811218985976269E-2</v>
      </c>
      <c r="Z215" s="7">
        <f t="shared" si="22"/>
        <v>0.99029126213592233</v>
      </c>
      <c r="AA215">
        <f t="shared" si="23"/>
        <v>79</v>
      </c>
      <c r="AB215" s="8">
        <f t="shared" si="24"/>
        <v>2673.98</v>
      </c>
      <c r="AC215">
        <f t="shared" si="25"/>
        <v>43.2</v>
      </c>
      <c r="AD215" t="str">
        <f t="shared" si="26"/>
        <v>Medium</v>
      </c>
      <c r="AE215" t="str">
        <f t="shared" si="27"/>
        <v>No</v>
      </c>
    </row>
    <row r="216" spans="1:31" x14ac:dyDescent="0.35">
      <c r="A216" t="s">
        <v>321</v>
      </c>
      <c r="B216" s="5">
        <v>46125</v>
      </c>
      <c r="C216" t="s">
        <v>301</v>
      </c>
      <c r="D216" t="s">
        <v>22</v>
      </c>
      <c r="E216" t="s">
        <v>93</v>
      </c>
      <c r="F216" t="s">
        <v>29</v>
      </c>
      <c r="G216" t="s">
        <v>90</v>
      </c>
      <c r="H216" t="s">
        <v>40</v>
      </c>
      <c r="I216" t="s">
        <v>48</v>
      </c>
      <c r="J216">
        <v>1376</v>
      </c>
      <c r="K216">
        <v>1193</v>
      </c>
      <c r="L216">
        <v>37</v>
      </c>
      <c r="M216">
        <v>24</v>
      </c>
      <c r="N216">
        <v>1112</v>
      </c>
      <c r="O216">
        <v>59.5</v>
      </c>
      <c r="P216">
        <v>10.5</v>
      </c>
      <c r="Q216" t="s">
        <v>80</v>
      </c>
      <c r="R216" t="s">
        <v>81</v>
      </c>
      <c r="S216" t="s">
        <v>82</v>
      </c>
      <c r="T216">
        <v>6</v>
      </c>
      <c r="U216">
        <v>3</v>
      </c>
      <c r="V216" s="6">
        <v>244.92</v>
      </c>
      <c r="W216" s="6">
        <v>2424.48</v>
      </c>
      <c r="X216" t="s">
        <v>151</v>
      </c>
      <c r="Y216" s="7">
        <f t="shared" si="21"/>
        <v>3.1014249790444259E-2</v>
      </c>
      <c r="Z216" s="7">
        <f t="shared" si="22"/>
        <v>0.93210393964794636</v>
      </c>
      <c r="AA216">
        <f t="shared" si="23"/>
        <v>183</v>
      </c>
      <c r="AB216" s="8">
        <f t="shared" si="24"/>
        <v>9062.0399999999991</v>
      </c>
      <c r="AC216">
        <f t="shared" si="25"/>
        <v>47.7</v>
      </c>
      <c r="AD216" t="str">
        <f t="shared" si="26"/>
        <v>Medium</v>
      </c>
      <c r="AE216" t="str">
        <f t="shared" si="27"/>
        <v>No</v>
      </c>
    </row>
    <row r="217" spans="1:31" x14ac:dyDescent="0.35">
      <c r="A217" t="s">
        <v>322</v>
      </c>
      <c r="B217" s="5">
        <v>46125</v>
      </c>
      <c r="C217" t="s">
        <v>301</v>
      </c>
      <c r="D217" t="s">
        <v>25</v>
      </c>
      <c r="E217" t="s">
        <v>89</v>
      </c>
      <c r="F217" t="s">
        <v>30</v>
      </c>
      <c r="G217" t="s">
        <v>85</v>
      </c>
      <c r="H217" t="s">
        <v>34</v>
      </c>
      <c r="I217" t="s">
        <v>45</v>
      </c>
      <c r="J217">
        <v>786</v>
      </c>
      <c r="K217">
        <v>722</v>
      </c>
      <c r="L217">
        <v>19</v>
      </c>
      <c r="M217">
        <v>15</v>
      </c>
      <c r="N217">
        <v>682</v>
      </c>
      <c r="O217">
        <v>71.5</v>
      </c>
      <c r="P217">
        <v>14.1</v>
      </c>
      <c r="Q217" t="s">
        <v>86</v>
      </c>
      <c r="R217" t="s">
        <v>81</v>
      </c>
      <c r="S217" t="s">
        <v>82</v>
      </c>
      <c r="T217">
        <v>1</v>
      </c>
      <c r="U217">
        <v>1</v>
      </c>
      <c r="V217" s="6">
        <v>279.64999999999998</v>
      </c>
      <c r="W217" s="6">
        <v>2591.37</v>
      </c>
      <c r="X217" t="s">
        <v>87</v>
      </c>
      <c r="Y217" s="7">
        <f t="shared" si="21"/>
        <v>2.6315789473684209E-2</v>
      </c>
      <c r="Z217" s="7">
        <f t="shared" si="22"/>
        <v>0.94459833795013848</v>
      </c>
      <c r="AA217">
        <f t="shared" si="23"/>
        <v>64</v>
      </c>
      <c r="AB217" s="8">
        <f t="shared" si="24"/>
        <v>5313.3499999999995</v>
      </c>
      <c r="AC217">
        <f t="shared" si="25"/>
        <v>65.099999999999994</v>
      </c>
      <c r="AD217" t="str">
        <f t="shared" si="26"/>
        <v>High</v>
      </c>
      <c r="AE217" t="str">
        <f t="shared" si="27"/>
        <v>Yes</v>
      </c>
    </row>
    <row r="218" spans="1:31" x14ac:dyDescent="0.35">
      <c r="A218" t="s">
        <v>323</v>
      </c>
      <c r="B218" s="5">
        <v>46125</v>
      </c>
      <c r="C218" t="s">
        <v>301</v>
      </c>
      <c r="D218" t="s">
        <v>25</v>
      </c>
      <c r="E218" t="s">
        <v>89</v>
      </c>
      <c r="F218" t="s">
        <v>32</v>
      </c>
      <c r="G218" t="s">
        <v>90</v>
      </c>
      <c r="H218" t="s">
        <v>39</v>
      </c>
      <c r="I218" t="s">
        <v>42</v>
      </c>
      <c r="J218">
        <v>1106</v>
      </c>
      <c r="K218">
        <v>980</v>
      </c>
      <c r="L218">
        <v>23</v>
      </c>
      <c r="M218">
        <v>8</v>
      </c>
      <c r="N218">
        <v>978</v>
      </c>
      <c r="O218">
        <v>57.4</v>
      </c>
      <c r="P218">
        <v>15.9</v>
      </c>
      <c r="Q218" t="s">
        <v>80</v>
      </c>
      <c r="R218" t="s">
        <v>81</v>
      </c>
      <c r="S218" t="s">
        <v>82</v>
      </c>
      <c r="T218">
        <v>6</v>
      </c>
      <c r="U218">
        <v>2</v>
      </c>
      <c r="V218" s="6">
        <v>121.46</v>
      </c>
      <c r="W218" s="6">
        <v>1319</v>
      </c>
      <c r="X218" t="s">
        <v>115</v>
      </c>
      <c r="Y218" s="7">
        <f t="shared" si="21"/>
        <v>2.3469387755102041E-2</v>
      </c>
      <c r="Z218" s="7">
        <f t="shared" si="22"/>
        <v>0.99795918367346936</v>
      </c>
      <c r="AA218">
        <f t="shared" si="23"/>
        <v>126</v>
      </c>
      <c r="AB218" s="8">
        <f t="shared" si="24"/>
        <v>2793.58</v>
      </c>
      <c r="AC218">
        <f t="shared" si="25"/>
        <v>44.2</v>
      </c>
      <c r="AD218" t="str">
        <f t="shared" si="26"/>
        <v>Medium</v>
      </c>
      <c r="AE218" t="str">
        <f t="shared" si="27"/>
        <v>No</v>
      </c>
    </row>
    <row r="219" spans="1:31" x14ac:dyDescent="0.35">
      <c r="A219" t="s">
        <v>324</v>
      </c>
      <c r="B219" s="5">
        <v>46125</v>
      </c>
      <c r="C219" t="s">
        <v>301</v>
      </c>
      <c r="D219" t="s">
        <v>24</v>
      </c>
      <c r="E219" t="s">
        <v>78</v>
      </c>
      <c r="F219" t="s">
        <v>32</v>
      </c>
      <c r="G219" t="s">
        <v>79</v>
      </c>
      <c r="H219" t="s">
        <v>36</v>
      </c>
      <c r="I219" t="s">
        <v>44</v>
      </c>
      <c r="J219">
        <v>993</v>
      </c>
      <c r="K219">
        <v>922</v>
      </c>
      <c r="L219">
        <v>24</v>
      </c>
      <c r="M219">
        <v>16</v>
      </c>
      <c r="N219">
        <v>864</v>
      </c>
      <c r="O219">
        <v>42.4</v>
      </c>
      <c r="P219">
        <v>12.1</v>
      </c>
      <c r="Q219" t="s">
        <v>80</v>
      </c>
      <c r="R219" t="s">
        <v>81</v>
      </c>
      <c r="S219" t="s">
        <v>82</v>
      </c>
      <c r="T219">
        <v>0</v>
      </c>
      <c r="U219">
        <v>2</v>
      </c>
      <c r="V219" s="6">
        <v>405.87</v>
      </c>
      <c r="W219" s="6">
        <v>3988.17</v>
      </c>
      <c r="X219" t="s">
        <v>83</v>
      </c>
      <c r="Y219" s="7">
        <f t="shared" si="21"/>
        <v>2.6030368763557483E-2</v>
      </c>
      <c r="Z219" s="7">
        <f t="shared" si="22"/>
        <v>0.93709327548806942</v>
      </c>
      <c r="AA219">
        <f t="shared" si="23"/>
        <v>71</v>
      </c>
      <c r="AB219" s="8">
        <f t="shared" si="24"/>
        <v>9740.880000000001</v>
      </c>
      <c r="AC219">
        <f t="shared" si="25"/>
        <v>44.6</v>
      </c>
      <c r="AD219" t="str">
        <f t="shared" si="26"/>
        <v>Medium</v>
      </c>
      <c r="AE219" t="str">
        <f t="shared" si="27"/>
        <v>No</v>
      </c>
    </row>
    <row r="220" spans="1:31" x14ac:dyDescent="0.35">
      <c r="A220" t="s">
        <v>325</v>
      </c>
      <c r="B220" s="5">
        <v>46125</v>
      </c>
      <c r="C220" t="s">
        <v>301</v>
      </c>
      <c r="D220" t="s">
        <v>22</v>
      </c>
      <c r="E220" t="s">
        <v>93</v>
      </c>
      <c r="F220" t="s">
        <v>29</v>
      </c>
      <c r="G220" t="s">
        <v>90</v>
      </c>
      <c r="H220" t="s">
        <v>39</v>
      </c>
      <c r="I220" t="s">
        <v>42</v>
      </c>
      <c r="J220">
        <v>1466</v>
      </c>
      <c r="K220">
        <v>1246</v>
      </c>
      <c r="L220">
        <v>29</v>
      </c>
      <c r="M220">
        <v>17</v>
      </c>
      <c r="N220">
        <v>1203</v>
      </c>
      <c r="O220">
        <v>74</v>
      </c>
      <c r="P220">
        <v>13.5</v>
      </c>
      <c r="Q220" t="s">
        <v>80</v>
      </c>
      <c r="R220" t="s">
        <v>81</v>
      </c>
      <c r="S220" t="s">
        <v>82</v>
      </c>
      <c r="T220">
        <v>3</v>
      </c>
      <c r="U220">
        <v>0</v>
      </c>
      <c r="V220" s="6">
        <v>343.19</v>
      </c>
      <c r="W220" s="6">
        <v>5057.67</v>
      </c>
      <c r="X220" t="s">
        <v>94</v>
      </c>
      <c r="Y220" s="7">
        <f t="shared" si="21"/>
        <v>2.3274478330658106E-2</v>
      </c>
      <c r="Z220" s="7">
        <f t="shared" si="22"/>
        <v>0.9654895666131621</v>
      </c>
      <c r="AA220">
        <f t="shared" si="23"/>
        <v>220</v>
      </c>
      <c r="AB220" s="8">
        <f t="shared" si="24"/>
        <v>9952.51</v>
      </c>
      <c r="AC220">
        <f t="shared" si="25"/>
        <v>42.4</v>
      </c>
      <c r="AD220" t="str">
        <f t="shared" si="26"/>
        <v>Medium</v>
      </c>
      <c r="AE220" t="str">
        <f t="shared" si="27"/>
        <v>No</v>
      </c>
    </row>
    <row r="221" spans="1:31" x14ac:dyDescent="0.35">
      <c r="A221" t="s">
        <v>326</v>
      </c>
      <c r="B221" s="5">
        <v>46125</v>
      </c>
      <c r="C221" t="s">
        <v>301</v>
      </c>
      <c r="D221" t="s">
        <v>25</v>
      </c>
      <c r="E221" t="s">
        <v>89</v>
      </c>
      <c r="F221" t="s">
        <v>32</v>
      </c>
      <c r="G221" t="s">
        <v>79</v>
      </c>
      <c r="H221" t="s">
        <v>39</v>
      </c>
      <c r="I221" t="s">
        <v>48</v>
      </c>
      <c r="J221">
        <v>1413</v>
      </c>
      <c r="K221">
        <v>1220</v>
      </c>
      <c r="L221">
        <v>43</v>
      </c>
      <c r="M221">
        <v>19</v>
      </c>
      <c r="N221">
        <v>1195</v>
      </c>
      <c r="O221">
        <v>71.599999999999994</v>
      </c>
      <c r="P221">
        <v>2.4</v>
      </c>
      <c r="Q221" t="s">
        <v>80</v>
      </c>
      <c r="R221" t="s">
        <v>81</v>
      </c>
      <c r="S221" t="s">
        <v>82</v>
      </c>
      <c r="T221">
        <v>7</v>
      </c>
      <c r="U221">
        <v>1</v>
      </c>
      <c r="V221" s="6">
        <v>247.52</v>
      </c>
      <c r="W221" s="6">
        <v>8186.47</v>
      </c>
      <c r="X221" t="s">
        <v>94</v>
      </c>
      <c r="Y221" s="7">
        <f t="shared" si="21"/>
        <v>3.5245901639344261E-2</v>
      </c>
      <c r="Z221" s="7">
        <f t="shared" si="22"/>
        <v>0.97950819672131151</v>
      </c>
      <c r="AA221">
        <f t="shared" si="23"/>
        <v>193</v>
      </c>
      <c r="AB221" s="8">
        <f t="shared" si="24"/>
        <v>10643.36</v>
      </c>
      <c r="AC221">
        <f t="shared" si="25"/>
        <v>39.299999999999997</v>
      </c>
      <c r="AD221" t="str">
        <f t="shared" si="26"/>
        <v>Low</v>
      </c>
      <c r="AE221" t="str">
        <f t="shared" si="27"/>
        <v>No</v>
      </c>
    </row>
    <row r="222" spans="1:31" x14ac:dyDescent="0.35">
      <c r="A222" t="s">
        <v>327</v>
      </c>
      <c r="B222" s="5">
        <v>46125</v>
      </c>
      <c r="C222" t="s">
        <v>301</v>
      </c>
      <c r="D222" t="s">
        <v>22</v>
      </c>
      <c r="E222" t="s">
        <v>93</v>
      </c>
      <c r="F222" t="s">
        <v>27</v>
      </c>
      <c r="G222" t="s">
        <v>328</v>
      </c>
      <c r="H222" t="s">
        <v>36</v>
      </c>
      <c r="I222" t="s">
        <v>46</v>
      </c>
      <c r="J222">
        <v>1527</v>
      </c>
      <c r="K222">
        <v>1444</v>
      </c>
      <c r="L222">
        <v>35</v>
      </c>
      <c r="M222">
        <v>15</v>
      </c>
      <c r="N222">
        <v>1427</v>
      </c>
      <c r="O222">
        <v>72.7</v>
      </c>
      <c r="P222">
        <v>16.3</v>
      </c>
      <c r="Q222" t="s">
        <v>80</v>
      </c>
      <c r="R222" t="s">
        <v>81</v>
      </c>
      <c r="S222" t="s">
        <v>100</v>
      </c>
      <c r="T222">
        <v>1</v>
      </c>
      <c r="U222">
        <v>2</v>
      </c>
      <c r="V222" s="6">
        <v>170.17</v>
      </c>
      <c r="W222" s="6">
        <v>2444.7600000000002</v>
      </c>
      <c r="X222" t="s">
        <v>110</v>
      </c>
      <c r="Y222" s="7">
        <f t="shared" si="21"/>
        <v>2.4238227146814405E-2</v>
      </c>
      <c r="Z222" s="7">
        <f t="shared" si="22"/>
        <v>0.98822714681440438</v>
      </c>
      <c r="AA222">
        <f t="shared" si="23"/>
        <v>83</v>
      </c>
      <c r="AB222" s="8">
        <f t="shared" si="24"/>
        <v>5955.95</v>
      </c>
      <c r="AC222">
        <f t="shared" si="25"/>
        <v>46</v>
      </c>
      <c r="AD222" t="str">
        <f t="shared" si="26"/>
        <v>Medium</v>
      </c>
      <c r="AE222" t="str">
        <f t="shared" si="27"/>
        <v>No</v>
      </c>
    </row>
    <row r="223" spans="1:31" x14ac:dyDescent="0.35">
      <c r="A223" t="s">
        <v>329</v>
      </c>
      <c r="B223" s="5">
        <v>46125</v>
      </c>
      <c r="C223" t="s">
        <v>301</v>
      </c>
      <c r="D223" t="s">
        <v>22</v>
      </c>
      <c r="E223" t="s">
        <v>93</v>
      </c>
      <c r="F223" t="s">
        <v>32</v>
      </c>
      <c r="G223" t="s">
        <v>85</v>
      </c>
      <c r="H223" t="s">
        <v>38</v>
      </c>
      <c r="I223" t="s">
        <v>47</v>
      </c>
      <c r="J223">
        <v>782</v>
      </c>
      <c r="K223">
        <v>688</v>
      </c>
      <c r="L223">
        <v>7</v>
      </c>
      <c r="M223">
        <v>2</v>
      </c>
      <c r="N223">
        <v>685</v>
      </c>
      <c r="O223">
        <v>63.5</v>
      </c>
      <c r="P223">
        <v>4.5</v>
      </c>
      <c r="Q223" t="s">
        <v>80</v>
      </c>
      <c r="R223" t="s">
        <v>81</v>
      </c>
      <c r="S223" t="s">
        <v>82</v>
      </c>
      <c r="T223">
        <v>1</v>
      </c>
      <c r="U223">
        <v>0</v>
      </c>
      <c r="V223" s="6">
        <v>409</v>
      </c>
      <c r="W223" s="6">
        <v>751.49</v>
      </c>
      <c r="X223" t="s">
        <v>94</v>
      </c>
      <c r="Y223" s="7">
        <f t="shared" si="21"/>
        <v>1.0174418604651164E-2</v>
      </c>
      <c r="Z223" s="7">
        <f t="shared" si="22"/>
        <v>0.99563953488372092</v>
      </c>
      <c r="AA223">
        <f t="shared" si="23"/>
        <v>94</v>
      </c>
      <c r="AB223" s="8">
        <f t="shared" si="24"/>
        <v>2863</v>
      </c>
      <c r="AC223">
        <f t="shared" si="25"/>
        <v>16.2</v>
      </c>
      <c r="AD223" t="str">
        <f t="shared" si="26"/>
        <v>Low</v>
      </c>
      <c r="AE223" t="str">
        <f t="shared" si="27"/>
        <v>No</v>
      </c>
    </row>
    <row r="224" spans="1:31" x14ac:dyDescent="0.35">
      <c r="A224" t="s">
        <v>330</v>
      </c>
      <c r="B224" s="5">
        <v>46125</v>
      </c>
      <c r="C224" t="s">
        <v>301</v>
      </c>
      <c r="D224" t="s">
        <v>22</v>
      </c>
      <c r="E224" t="s">
        <v>93</v>
      </c>
      <c r="F224" t="s">
        <v>31</v>
      </c>
      <c r="G224" t="s">
        <v>85</v>
      </c>
      <c r="H224" t="s">
        <v>34</v>
      </c>
      <c r="I224" t="s">
        <v>47</v>
      </c>
      <c r="J224">
        <v>902</v>
      </c>
      <c r="K224">
        <v>761</v>
      </c>
      <c r="L224">
        <v>10</v>
      </c>
      <c r="M224">
        <v>5</v>
      </c>
      <c r="N224">
        <v>681</v>
      </c>
      <c r="O224">
        <v>75.900000000000006</v>
      </c>
      <c r="P224">
        <v>4.0999999999999996</v>
      </c>
      <c r="Q224" t="s">
        <v>96</v>
      </c>
      <c r="R224" t="s">
        <v>81</v>
      </c>
      <c r="S224" t="s">
        <v>82</v>
      </c>
      <c r="T224">
        <v>0</v>
      </c>
      <c r="U224">
        <v>2</v>
      </c>
      <c r="V224" s="6">
        <v>194.81</v>
      </c>
      <c r="W224" s="6">
        <v>1142.43</v>
      </c>
      <c r="X224" t="s">
        <v>94</v>
      </c>
      <c r="Y224" s="7">
        <f t="shared" si="21"/>
        <v>1.3140604467805518E-2</v>
      </c>
      <c r="Z224" s="7">
        <f t="shared" si="22"/>
        <v>0.89487516425755587</v>
      </c>
      <c r="AA224">
        <f t="shared" si="23"/>
        <v>141</v>
      </c>
      <c r="AB224" s="8">
        <f t="shared" si="24"/>
        <v>1948.1</v>
      </c>
      <c r="AC224">
        <f t="shared" si="25"/>
        <v>33.200000000000003</v>
      </c>
      <c r="AD224" t="str">
        <f t="shared" si="26"/>
        <v>Low</v>
      </c>
      <c r="AE224" t="str">
        <f t="shared" si="27"/>
        <v>No</v>
      </c>
    </row>
    <row r="225" spans="1:31" x14ac:dyDescent="0.35">
      <c r="A225" t="s">
        <v>331</v>
      </c>
      <c r="B225" s="5">
        <v>46125</v>
      </c>
      <c r="C225" t="s">
        <v>301</v>
      </c>
      <c r="D225" t="s">
        <v>25</v>
      </c>
      <c r="E225" t="s">
        <v>89</v>
      </c>
      <c r="F225" t="s">
        <v>30</v>
      </c>
      <c r="G225" t="s">
        <v>90</v>
      </c>
      <c r="H225" t="s">
        <v>34</v>
      </c>
      <c r="I225" t="s">
        <v>44</v>
      </c>
      <c r="J225">
        <v>780</v>
      </c>
      <c r="K225">
        <v>753</v>
      </c>
      <c r="L225">
        <v>28</v>
      </c>
      <c r="M225">
        <v>19</v>
      </c>
      <c r="N225">
        <v>747</v>
      </c>
      <c r="O225">
        <v>69</v>
      </c>
      <c r="P225">
        <v>13.2</v>
      </c>
      <c r="Q225" t="s">
        <v>80</v>
      </c>
      <c r="R225" t="s">
        <v>81</v>
      </c>
      <c r="S225" t="s">
        <v>82</v>
      </c>
      <c r="T225">
        <v>8</v>
      </c>
      <c r="U225">
        <v>3</v>
      </c>
      <c r="V225" s="6">
        <v>288.52999999999997</v>
      </c>
      <c r="W225" s="6">
        <v>5373.7</v>
      </c>
      <c r="X225" t="s">
        <v>94</v>
      </c>
      <c r="Y225" s="7">
        <f t="shared" si="21"/>
        <v>3.7184594953519258E-2</v>
      </c>
      <c r="Z225" s="7">
        <f t="shared" si="22"/>
        <v>0.99203187250996017</v>
      </c>
      <c r="AA225">
        <f t="shared" si="23"/>
        <v>27</v>
      </c>
      <c r="AB225" s="8">
        <f t="shared" si="24"/>
        <v>8078.8399999999992</v>
      </c>
      <c r="AC225">
        <f t="shared" si="25"/>
        <v>54.7</v>
      </c>
      <c r="AD225" t="str">
        <f t="shared" si="26"/>
        <v>Medium</v>
      </c>
      <c r="AE225" t="str">
        <f t="shared" si="27"/>
        <v>No</v>
      </c>
    </row>
    <row r="226" spans="1:31" x14ac:dyDescent="0.35">
      <c r="A226" t="s">
        <v>332</v>
      </c>
      <c r="B226" s="5">
        <v>46125</v>
      </c>
      <c r="C226" t="s">
        <v>301</v>
      </c>
      <c r="D226" t="s">
        <v>25</v>
      </c>
      <c r="E226" t="s">
        <v>89</v>
      </c>
      <c r="F226" t="s">
        <v>32</v>
      </c>
      <c r="G226" t="s">
        <v>90</v>
      </c>
      <c r="H226" t="s">
        <v>40</v>
      </c>
      <c r="I226" t="s">
        <v>45</v>
      </c>
      <c r="J226">
        <v>968</v>
      </c>
      <c r="K226">
        <v>894</v>
      </c>
      <c r="L226">
        <v>31</v>
      </c>
      <c r="M226">
        <v>23</v>
      </c>
      <c r="N226">
        <v>865</v>
      </c>
      <c r="O226">
        <v>41.5</v>
      </c>
      <c r="P226">
        <v>0.3</v>
      </c>
      <c r="Q226" t="s">
        <v>80</v>
      </c>
      <c r="R226" t="s">
        <v>81</v>
      </c>
      <c r="S226" t="s">
        <v>82</v>
      </c>
      <c r="T226">
        <v>6</v>
      </c>
      <c r="U226">
        <v>4</v>
      </c>
      <c r="V226" s="6">
        <v>135.72</v>
      </c>
      <c r="W226" s="6">
        <v>3216.5</v>
      </c>
      <c r="X226" t="s">
        <v>94</v>
      </c>
      <c r="Y226" s="7">
        <f t="shared" si="21"/>
        <v>3.4675615212527967E-2</v>
      </c>
      <c r="Z226" s="7">
        <f t="shared" si="22"/>
        <v>0.96756152125279637</v>
      </c>
      <c r="AA226">
        <f t="shared" si="23"/>
        <v>74</v>
      </c>
      <c r="AB226" s="8">
        <f t="shared" si="24"/>
        <v>4207.32</v>
      </c>
      <c r="AC226">
        <f t="shared" si="25"/>
        <v>36.5</v>
      </c>
      <c r="AD226" t="str">
        <f t="shared" si="26"/>
        <v>Low</v>
      </c>
      <c r="AE226" t="str">
        <f t="shared" si="27"/>
        <v>No</v>
      </c>
    </row>
    <row r="227" spans="1:31" x14ac:dyDescent="0.35">
      <c r="A227" t="s">
        <v>333</v>
      </c>
      <c r="B227" s="5">
        <v>46132</v>
      </c>
      <c r="C227" t="s">
        <v>301</v>
      </c>
      <c r="D227" t="s">
        <v>23</v>
      </c>
      <c r="E227" t="s">
        <v>78</v>
      </c>
      <c r="F227" t="s">
        <v>32</v>
      </c>
      <c r="G227" t="s">
        <v>85</v>
      </c>
      <c r="H227" t="s">
        <v>34</v>
      </c>
      <c r="I227" t="s">
        <v>45</v>
      </c>
      <c r="J227">
        <v>1384</v>
      </c>
      <c r="K227">
        <v>1232</v>
      </c>
      <c r="L227">
        <v>38</v>
      </c>
      <c r="M227">
        <v>22</v>
      </c>
      <c r="N227">
        <v>1120</v>
      </c>
      <c r="O227">
        <v>53.8</v>
      </c>
      <c r="P227">
        <v>20.2</v>
      </c>
      <c r="Q227" t="s">
        <v>86</v>
      </c>
      <c r="R227" t="s">
        <v>81</v>
      </c>
      <c r="S227" t="s">
        <v>82</v>
      </c>
      <c r="T227">
        <v>10</v>
      </c>
      <c r="U227">
        <v>3</v>
      </c>
      <c r="V227" s="6">
        <v>213.03</v>
      </c>
      <c r="W227" s="6">
        <v>4970.72</v>
      </c>
      <c r="X227" t="s">
        <v>94</v>
      </c>
      <c r="Y227" s="7">
        <f t="shared" si="21"/>
        <v>3.0844155844155844E-2</v>
      </c>
      <c r="Z227" s="7">
        <f t="shared" si="22"/>
        <v>0.90909090909090906</v>
      </c>
      <c r="AA227">
        <f t="shared" si="23"/>
        <v>152</v>
      </c>
      <c r="AB227" s="8">
        <f t="shared" si="24"/>
        <v>8095.14</v>
      </c>
      <c r="AC227">
        <f t="shared" si="25"/>
        <v>79.2</v>
      </c>
      <c r="AD227" t="str">
        <f t="shared" si="26"/>
        <v>High</v>
      </c>
      <c r="AE227" t="str">
        <f t="shared" si="27"/>
        <v>Yes</v>
      </c>
    </row>
    <row r="228" spans="1:31" x14ac:dyDescent="0.35">
      <c r="A228" t="s">
        <v>334</v>
      </c>
      <c r="B228" s="5">
        <v>46132</v>
      </c>
      <c r="C228" t="s">
        <v>301</v>
      </c>
      <c r="D228" t="s">
        <v>23</v>
      </c>
      <c r="E228" t="s">
        <v>78</v>
      </c>
      <c r="F228" t="s">
        <v>31</v>
      </c>
      <c r="G228" t="s">
        <v>85</v>
      </c>
      <c r="H228" t="s">
        <v>38</v>
      </c>
      <c r="I228" t="s">
        <v>42</v>
      </c>
      <c r="J228">
        <v>1177</v>
      </c>
      <c r="K228">
        <v>1067</v>
      </c>
      <c r="L228">
        <v>25</v>
      </c>
      <c r="M228">
        <v>18</v>
      </c>
      <c r="N228">
        <v>1032</v>
      </c>
      <c r="O228">
        <v>24.5</v>
      </c>
      <c r="P228">
        <v>3.6</v>
      </c>
      <c r="Q228" t="s">
        <v>80</v>
      </c>
      <c r="R228" t="s">
        <v>81</v>
      </c>
      <c r="S228" t="s">
        <v>82</v>
      </c>
      <c r="T228">
        <v>1</v>
      </c>
      <c r="U228">
        <v>0</v>
      </c>
      <c r="V228" s="6">
        <v>414.99</v>
      </c>
      <c r="W228" s="6">
        <v>6500.73</v>
      </c>
      <c r="X228" t="s">
        <v>91</v>
      </c>
      <c r="Y228" s="7">
        <f t="shared" si="21"/>
        <v>2.3430178069353328E-2</v>
      </c>
      <c r="Z228" s="7">
        <f t="shared" si="22"/>
        <v>0.96719775070290537</v>
      </c>
      <c r="AA228">
        <f t="shared" si="23"/>
        <v>110</v>
      </c>
      <c r="AB228" s="8">
        <f t="shared" si="24"/>
        <v>10374.75</v>
      </c>
      <c r="AC228">
        <f t="shared" si="25"/>
        <v>29.6</v>
      </c>
      <c r="AD228" t="str">
        <f t="shared" si="26"/>
        <v>Low</v>
      </c>
      <c r="AE228" t="str">
        <f t="shared" si="27"/>
        <v>No</v>
      </c>
    </row>
    <row r="229" spans="1:31" x14ac:dyDescent="0.35">
      <c r="A229" t="s">
        <v>335</v>
      </c>
      <c r="B229" s="5">
        <v>46132</v>
      </c>
      <c r="C229" t="s">
        <v>301</v>
      </c>
      <c r="D229" t="s">
        <v>22</v>
      </c>
      <c r="E229" t="s">
        <v>93</v>
      </c>
      <c r="F229" t="s">
        <v>27</v>
      </c>
      <c r="G229" t="s">
        <v>79</v>
      </c>
      <c r="H229" t="s">
        <v>36</v>
      </c>
      <c r="I229" t="s">
        <v>47</v>
      </c>
      <c r="J229">
        <v>1506</v>
      </c>
      <c r="K229">
        <v>1334</v>
      </c>
      <c r="L229">
        <v>31</v>
      </c>
      <c r="M229">
        <v>13</v>
      </c>
      <c r="N229">
        <v>1254</v>
      </c>
      <c r="O229">
        <v>61.9</v>
      </c>
      <c r="P229">
        <v>20.2</v>
      </c>
      <c r="Q229" t="s">
        <v>80</v>
      </c>
      <c r="R229" t="s">
        <v>81</v>
      </c>
      <c r="S229" t="s">
        <v>138</v>
      </c>
      <c r="T229">
        <v>3</v>
      </c>
      <c r="U229">
        <v>2</v>
      </c>
      <c r="V229" s="6">
        <v>229.29</v>
      </c>
      <c r="W229" s="6">
        <v>4992.09</v>
      </c>
      <c r="X229" t="s">
        <v>110</v>
      </c>
      <c r="Y229" s="7">
        <f t="shared" si="21"/>
        <v>2.3238380809595203E-2</v>
      </c>
      <c r="Z229" s="7">
        <f t="shared" si="22"/>
        <v>0.94002998500749624</v>
      </c>
      <c r="AA229">
        <f t="shared" si="23"/>
        <v>172</v>
      </c>
      <c r="AB229" s="8">
        <f t="shared" si="24"/>
        <v>7107.99</v>
      </c>
      <c r="AC229">
        <f t="shared" si="25"/>
        <v>64.2</v>
      </c>
      <c r="AD229" t="str">
        <f t="shared" si="26"/>
        <v>Medium</v>
      </c>
      <c r="AE229" t="str">
        <f t="shared" si="27"/>
        <v>Yes</v>
      </c>
    </row>
    <row r="230" spans="1:31" x14ac:dyDescent="0.35">
      <c r="A230" t="s">
        <v>336</v>
      </c>
      <c r="B230" s="5">
        <v>46132</v>
      </c>
      <c r="C230" t="s">
        <v>301</v>
      </c>
      <c r="D230" t="s">
        <v>20</v>
      </c>
      <c r="E230" t="s">
        <v>78</v>
      </c>
      <c r="F230" t="s">
        <v>30</v>
      </c>
      <c r="G230" t="s">
        <v>85</v>
      </c>
      <c r="H230" t="s">
        <v>36</v>
      </c>
      <c r="I230" t="s">
        <v>42</v>
      </c>
      <c r="J230">
        <v>830</v>
      </c>
      <c r="K230">
        <v>767</v>
      </c>
      <c r="L230">
        <v>25</v>
      </c>
      <c r="M230">
        <v>13</v>
      </c>
      <c r="N230">
        <v>746</v>
      </c>
      <c r="O230">
        <v>73.2</v>
      </c>
      <c r="P230">
        <v>7.3</v>
      </c>
      <c r="Q230" t="s">
        <v>86</v>
      </c>
      <c r="R230" t="s">
        <v>81</v>
      </c>
      <c r="S230" t="s">
        <v>138</v>
      </c>
      <c r="T230">
        <v>8</v>
      </c>
      <c r="U230">
        <v>2</v>
      </c>
      <c r="V230" s="6">
        <v>302.75</v>
      </c>
      <c r="W230" s="6">
        <v>4513.09</v>
      </c>
      <c r="X230" t="s">
        <v>87</v>
      </c>
      <c r="Y230" s="7">
        <f t="shared" si="21"/>
        <v>3.259452411994785E-2</v>
      </c>
      <c r="Z230" s="7">
        <f t="shared" si="22"/>
        <v>0.97262059973924375</v>
      </c>
      <c r="AA230">
        <f t="shared" si="23"/>
        <v>63</v>
      </c>
      <c r="AB230" s="8">
        <f t="shared" si="24"/>
        <v>7568.75</v>
      </c>
      <c r="AC230">
        <f t="shared" si="25"/>
        <v>73.3</v>
      </c>
      <c r="AD230" t="str">
        <f t="shared" si="26"/>
        <v>High</v>
      </c>
      <c r="AE230" t="str">
        <f t="shared" si="27"/>
        <v>Yes</v>
      </c>
    </row>
    <row r="231" spans="1:31" x14ac:dyDescent="0.35">
      <c r="A231" t="s">
        <v>337</v>
      </c>
      <c r="B231" s="5">
        <v>46132</v>
      </c>
      <c r="C231" t="s">
        <v>301</v>
      </c>
      <c r="D231" t="s">
        <v>25</v>
      </c>
      <c r="E231" t="s">
        <v>89</v>
      </c>
      <c r="F231" t="s">
        <v>31</v>
      </c>
      <c r="G231" t="s">
        <v>85</v>
      </c>
      <c r="H231" t="s">
        <v>40</v>
      </c>
      <c r="I231" t="s">
        <v>44</v>
      </c>
      <c r="J231">
        <v>1440</v>
      </c>
      <c r="K231">
        <v>1383</v>
      </c>
      <c r="L231">
        <v>16</v>
      </c>
      <c r="M231">
        <v>9</v>
      </c>
      <c r="N231">
        <v>1329</v>
      </c>
      <c r="O231">
        <v>48</v>
      </c>
      <c r="P231">
        <v>1.4</v>
      </c>
      <c r="Q231" t="s">
        <v>80</v>
      </c>
      <c r="R231" t="s">
        <v>81</v>
      </c>
      <c r="S231" t="s">
        <v>82</v>
      </c>
      <c r="T231">
        <v>0</v>
      </c>
      <c r="U231">
        <v>5</v>
      </c>
      <c r="V231" s="6">
        <v>310.43</v>
      </c>
      <c r="W231" s="6">
        <v>1587.62</v>
      </c>
      <c r="X231" t="s">
        <v>94</v>
      </c>
      <c r="Y231" s="7">
        <f t="shared" si="21"/>
        <v>1.1569052783803326E-2</v>
      </c>
      <c r="Z231" s="7">
        <f t="shared" si="22"/>
        <v>0.9609544468546638</v>
      </c>
      <c r="AA231">
        <f t="shared" si="23"/>
        <v>57</v>
      </c>
      <c r="AB231" s="8">
        <f t="shared" si="24"/>
        <v>4966.88</v>
      </c>
      <c r="AC231">
        <f t="shared" si="25"/>
        <v>15.1</v>
      </c>
      <c r="AD231" t="str">
        <f t="shared" si="26"/>
        <v>Low</v>
      </c>
      <c r="AE231" t="str">
        <f t="shared" si="27"/>
        <v>No</v>
      </c>
    </row>
    <row r="232" spans="1:31" x14ac:dyDescent="0.35">
      <c r="A232" t="s">
        <v>338</v>
      </c>
      <c r="B232" s="5">
        <v>46132</v>
      </c>
      <c r="C232" t="s">
        <v>301</v>
      </c>
      <c r="D232" t="s">
        <v>20</v>
      </c>
      <c r="E232" t="s">
        <v>78</v>
      </c>
      <c r="F232" t="s">
        <v>32</v>
      </c>
      <c r="G232" t="s">
        <v>85</v>
      </c>
      <c r="H232" t="s">
        <v>39</v>
      </c>
      <c r="I232" t="s">
        <v>44</v>
      </c>
      <c r="J232">
        <v>874</v>
      </c>
      <c r="K232">
        <v>844</v>
      </c>
      <c r="L232">
        <v>25</v>
      </c>
      <c r="M232">
        <v>10</v>
      </c>
      <c r="N232">
        <v>785</v>
      </c>
      <c r="O232">
        <v>21.3</v>
      </c>
      <c r="P232">
        <v>5</v>
      </c>
      <c r="Q232" t="s">
        <v>80</v>
      </c>
      <c r="R232" t="s">
        <v>81</v>
      </c>
      <c r="S232" t="s">
        <v>82</v>
      </c>
      <c r="T232">
        <v>0</v>
      </c>
      <c r="U232">
        <v>0</v>
      </c>
      <c r="V232" s="6">
        <v>227.31</v>
      </c>
      <c r="W232" s="6">
        <v>3351.48</v>
      </c>
      <c r="X232" t="s">
        <v>83</v>
      </c>
      <c r="Y232" s="7">
        <f t="shared" si="21"/>
        <v>2.9620853080568721E-2</v>
      </c>
      <c r="Z232" s="7">
        <f t="shared" si="22"/>
        <v>0.93009478672985779</v>
      </c>
      <c r="AA232">
        <f t="shared" si="23"/>
        <v>30</v>
      </c>
      <c r="AB232" s="8">
        <f t="shared" si="24"/>
        <v>5682.75</v>
      </c>
      <c r="AC232">
        <f t="shared" si="25"/>
        <v>39.299999999999997</v>
      </c>
      <c r="AD232" t="str">
        <f t="shared" si="26"/>
        <v>Low</v>
      </c>
      <c r="AE232" t="str">
        <f t="shared" si="27"/>
        <v>No</v>
      </c>
    </row>
    <row r="233" spans="1:31" x14ac:dyDescent="0.35">
      <c r="A233" t="s">
        <v>339</v>
      </c>
      <c r="B233" s="5">
        <v>46132</v>
      </c>
      <c r="C233" t="s">
        <v>301</v>
      </c>
      <c r="D233" t="s">
        <v>24</v>
      </c>
      <c r="E233" t="s">
        <v>78</v>
      </c>
      <c r="F233" t="s">
        <v>27</v>
      </c>
      <c r="G233" t="s">
        <v>79</v>
      </c>
      <c r="H233" t="s">
        <v>39</v>
      </c>
      <c r="I233" t="s">
        <v>45</v>
      </c>
      <c r="J233">
        <v>1431</v>
      </c>
      <c r="K233">
        <v>1304</v>
      </c>
      <c r="L233">
        <v>60</v>
      </c>
      <c r="M233">
        <v>50</v>
      </c>
      <c r="N233">
        <v>1158</v>
      </c>
      <c r="O233">
        <v>74.7</v>
      </c>
      <c r="P233">
        <v>4.4000000000000004</v>
      </c>
      <c r="Q233" t="s">
        <v>80</v>
      </c>
      <c r="R233" t="s">
        <v>81</v>
      </c>
      <c r="S233" t="s">
        <v>82</v>
      </c>
      <c r="T233">
        <v>7</v>
      </c>
      <c r="U233">
        <v>5</v>
      </c>
      <c r="V233" s="6">
        <v>252.22</v>
      </c>
      <c r="W233" s="6">
        <v>4966.3</v>
      </c>
      <c r="X233" t="s">
        <v>94</v>
      </c>
      <c r="Y233" s="7">
        <f t="shared" si="21"/>
        <v>4.6012269938650305E-2</v>
      </c>
      <c r="Z233" s="7">
        <f t="shared" si="22"/>
        <v>0.8880368098159509</v>
      </c>
      <c r="AA233">
        <f t="shared" si="23"/>
        <v>127</v>
      </c>
      <c r="AB233" s="8">
        <f t="shared" si="24"/>
        <v>15133.2</v>
      </c>
      <c r="AC233">
        <f t="shared" si="25"/>
        <v>56.8</v>
      </c>
      <c r="AD233" t="str">
        <f t="shared" si="26"/>
        <v>Medium</v>
      </c>
      <c r="AE233" t="str">
        <f t="shared" si="27"/>
        <v>No</v>
      </c>
    </row>
    <row r="234" spans="1:31" x14ac:dyDescent="0.35">
      <c r="A234" t="s">
        <v>340</v>
      </c>
      <c r="B234" s="5">
        <v>46132</v>
      </c>
      <c r="C234" t="s">
        <v>301</v>
      </c>
      <c r="D234" t="s">
        <v>22</v>
      </c>
      <c r="E234" t="s">
        <v>93</v>
      </c>
      <c r="F234" t="s">
        <v>27</v>
      </c>
      <c r="G234" t="s">
        <v>85</v>
      </c>
      <c r="H234" t="s">
        <v>36</v>
      </c>
      <c r="I234" t="s">
        <v>48</v>
      </c>
      <c r="J234">
        <v>1344</v>
      </c>
      <c r="K234">
        <v>1191</v>
      </c>
      <c r="L234">
        <v>14</v>
      </c>
      <c r="M234">
        <v>5</v>
      </c>
      <c r="N234">
        <v>1191</v>
      </c>
      <c r="O234">
        <v>33.6</v>
      </c>
      <c r="P234">
        <v>3.2</v>
      </c>
      <c r="Q234" t="s">
        <v>80</v>
      </c>
      <c r="R234" t="s">
        <v>81</v>
      </c>
      <c r="S234" t="s">
        <v>82</v>
      </c>
      <c r="T234">
        <v>3</v>
      </c>
      <c r="U234">
        <v>3</v>
      </c>
      <c r="V234" s="6">
        <v>103.39</v>
      </c>
      <c r="W234" s="6">
        <v>426.15</v>
      </c>
      <c r="X234" t="s">
        <v>110</v>
      </c>
      <c r="Y234" s="7">
        <f t="shared" si="21"/>
        <v>1.1754827875734676E-2</v>
      </c>
      <c r="Z234" s="7">
        <f t="shared" si="22"/>
        <v>1</v>
      </c>
      <c r="AA234">
        <f t="shared" si="23"/>
        <v>153</v>
      </c>
      <c r="AB234" s="8">
        <f t="shared" si="24"/>
        <v>1447.46</v>
      </c>
      <c r="AC234">
        <f t="shared" si="25"/>
        <v>15.9</v>
      </c>
      <c r="AD234" t="str">
        <f t="shared" si="26"/>
        <v>Low</v>
      </c>
      <c r="AE234" t="str">
        <f t="shared" si="27"/>
        <v>No</v>
      </c>
    </row>
    <row r="235" spans="1:31" x14ac:dyDescent="0.35">
      <c r="A235" t="s">
        <v>341</v>
      </c>
      <c r="B235" s="5">
        <v>46132</v>
      </c>
      <c r="C235" t="s">
        <v>301</v>
      </c>
      <c r="D235" t="s">
        <v>25</v>
      </c>
      <c r="E235" t="s">
        <v>89</v>
      </c>
      <c r="F235" t="s">
        <v>32</v>
      </c>
      <c r="G235" t="s">
        <v>79</v>
      </c>
      <c r="H235" t="s">
        <v>39</v>
      </c>
      <c r="I235" t="s">
        <v>45</v>
      </c>
      <c r="J235">
        <v>1206</v>
      </c>
      <c r="K235">
        <v>1078</v>
      </c>
      <c r="L235">
        <v>30</v>
      </c>
      <c r="M235">
        <v>13</v>
      </c>
      <c r="N235">
        <v>989</v>
      </c>
      <c r="O235">
        <v>70.5</v>
      </c>
      <c r="P235">
        <v>15.1</v>
      </c>
      <c r="Q235" t="s">
        <v>80</v>
      </c>
      <c r="R235" t="s">
        <v>81</v>
      </c>
      <c r="S235" t="s">
        <v>82</v>
      </c>
      <c r="T235">
        <v>7</v>
      </c>
      <c r="U235">
        <v>1</v>
      </c>
      <c r="V235" s="6">
        <v>70.86</v>
      </c>
      <c r="W235" s="6">
        <v>827.97</v>
      </c>
      <c r="X235" t="s">
        <v>94</v>
      </c>
      <c r="Y235" s="7">
        <f t="shared" si="21"/>
        <v>2.7829313543599257E-2</v>
      </c>
      <c r="Z235" s="7">
        <f t="shared" si="22"/>
        <v>0.91743970315398882</v>
      </c>
      <c r="AA235">
        <f t="shared" si="23"/>
        <v>128</v>
      </c>
      <c r="AB235" s="8">
        <f t="shared" si="24"/>
        <v>2125.8000000000002</v>
      </c>
      <c r="AC235">
        <f t="shared" si="25"/>
        <v>51.2</v>
      </c>
      <c r="AD235" t="str">
        <f t="shared" si="26"/>
        <v>Medium</v>
      </c>
      <c r="AE235" t="str">
        <f t="shared" si="27"/>
        <v>No</v>
      </c>
    </row>
    <row r="236" spans="1:31" x14ac:dyDescent="0.35">
      <c r="A236" t="s">
        <v>342</v>
      </c>
      <c r="B236" s="5">
        <v>46132</v>
      </c>
      <c r="C236" t="s">
        <v>301</v>
      </c>
      <c r="D236" t="s">
        <v>22</v>
      </c>
      <c r="E236" t="s">
        <v>93</v>
      </c>
      <c r="F236" t="s">
        <v>29</v>
      </c>
      <c r="G236" t="s">
        <v>85</v>
      </c>
      <c r="H236" t="s">
        <v>39</v>
      </c>
      <c r="I236" t="s">
        <v>48</v>
      </c>
      <c r="J236">
        <v>1254</v>
      </c>
      <c r="K236">
        <v>1184</v>
      </c>
      <c r="L236">
        <v>20</v>
      </c>
      <c r="M236">
        <v>15</v>
      </c>
      <c r="N236">
        <v>1143</v>
      </c>
      <c r="O236">
        <v>37.799999999999997</v>
      </c>
      <c r="P236">
        <v>4.3</v>
      </c>
      <c r="Q236" t="s">
        <v>86</v>
      </c>
      <c r="R236" t="s">
        <v>81</v>
      </c>
      <c r="S236" t="s">
        <v>82</v>
      </c>
      <c r="T236">
        <v>4</v>
      </c>
      <c r="U236">
        <v>4</v>
      </c>
      <c r="V236" s="6">
        <v>94.3</v>
      </c>
      <c r="W236" s="6">
        <v>1449.71</v>
      </c>
      <c r="X236" t="s">
        <v>151</v>
      </c>
      <c r="Y236" s="7">
        <f t="shared" si="21"/>
        <v>1.6891891891891893E-2</v>
      </c>
      <c r="Z236" s="7">
        <f t="shared" si="22"/>
        <v>0.9653716216216216</v>
      </c>
      <c r="AA236">
        <f t="shared" si="23"/>
        <v>70</v>
      </c>
      <c r="AB236" s="8">
        <f t="shared" si="24"/>
        <v>1886</v>
      </c>
      <c r="AC236">
        <f t="shared" si="25"/>
        <v>42</v>
      </c>
      <c r="AD236" t="str">
        <f t="shared" si="26"/>
        <v>Medium</v>
      </c>
      <c r="AE236" t="str">
        <f t="shared" si="27"/>
        <v>Yes</v>
      </c>
    </row>
    <row r="237" spans="1:31" x14ac:dyDescent="0.35">
      <c r="A237" t="s">
        <v>343</v>
      </c>
      <c r="B237" s="5">
        <v>46132</v>
      </c>
      <c r="C237" t="s">
        <v>301</v>
      </c>
      <c r="D237" t="s">
        <v>25</v>
      </c>
      <c r="E237" t="s">
        <v>89</v>
      </c>
      <c r="F237" t="s">
        <v>31</v>
      </c>
      <c r="G237" t="s">
        <v>85</v>
      </c>
      <c r="H237" t="s">
        <v>37</v>
      </c>
      <c r="I237" t="s">
        <v>47</v>
      </c>
      <c r="J237">
        <v>1413</v>
      </c>
      <c r="K237">
        <v>1209</v>
      </c>
      <c r="L237">
        <v>9</v>
      </c>
      <c r="M237">
        <v>6</v>
      </c>
      <c r="N237">
        <v>1110</v>
      </c>
      <c r="O237">
        <v>72.400000000000006</v>
      </c>
      <c r="P237">
        <v>4.0999999999999996</v>
      </c>
      <c r="Q237" t="s">
        <v>80</v>
      </c>
      <c r="R237" t="s">
        <v>81</v>
      </c>
      <c r="S237" t="s">
        <v>82</v>
      </c>
      <c r="T237">
        <v>2</v>
      </c>
      <c r="U237">
        <v>1</v>
      </c>
      <c r="V237" s="6">
        <v>396.73</v>
      </c>
      <c r="W237" s="6">
        <v>1367.06</v>
      </c>
      <c r="X237" t="s">
        <v>91</v>
      </c>
      <c r="Y237" s="7">
        <f t="shared" si="21"/>
        <v>7.4441687344913151E-3</v>
      </c>
      <c r="Z237" s="7">
        <f t="shared" si="22"/>
        <v>0.91811414392059554</v>
      </c>
      <c r="AA237">
        <f t="shared" si="23"/>
        <v>204</v>
      </c>
      <c r="AB237" s="8">
        <f t="shared" si="24"/>
        <v>3570.57</v>
      </c>
      <c r="AC237">
        <f t="shared" si="25"/>
        <v>16.5</v>
      </c>
      <c r="AD237" t="str">
        <f t="shared" si="26"/>
        <v>Low</v>
      </c>
      <c r="AE237" t="str">
        <f t="shared" si="27"/>
        <v>No</v>
      </c>
    </row>
    <row r="238" spans="1:31" x14ac:dyDescent="0.35">
      <c r="A238" t="s">
        <v>344</v>
      </c>
      <c r="B238" s="5">
        <v>46132</v>
      </c>
      <c r="C238" t="s">
        <v>301</v>
      </c>
      <c r="D238" t="s">
        <v>24</v>
      </c>
      <c r="E238" t="s">
        <v>78</v>
      </c>
      <c r="F238" t="s">
        <v>30</v>
      </c>
      <c r="G238" t="s">
        <v>85</v>
      </c>
      <c r="H238" t="s">
        <v>37</v>
      </c>
      <c r="I238" t="s">
        <v>47</v>
      </c>
      <c r="J238">
        <v>1027</v>
      </c>
      <c r="K238">
        <v>1040</v>
      </c>
      <c r="L238">
        <v>26</v>
      </c>
      <c r="M238">
        <v>14</v>
      </c>
      <c r="N238">
        <v>963</v>
      </c>
      <c r="O238">
        <v>67.099999999999994</v>
      </c>
      <c r="P238">
        <v>0</v>
      </c>
      <c r="Q238" t="s">
        <v>80</v>
      </c>
      <c r="R238" t="s">
        <v>81</v>
      </c>
      <c r="S238" t="s">
        <v>82</v>
      </c>
      <c r="T238">
        <v>3</v>
      </c>
      <c r="U238">
        <v>2</v>
      </c>
      <c r="V238" s="6">
        <v>283.35000000000002</v>
      </c>
      <c r="W238" s="6">
        <v>5158.32</v>
      </c>
      <c r="X238" t="s">
        <v>110</v>
      </c>
      <c r="Y238" s="7">
        <f t="shared" si="21"/>
        <v>2.5000000000000001E-2</v>
      </c>
      <c r="Z238" s="7">
        <f t="shared" si="22"/>
        <v>0.9259615384615385</v>
      </c>
      <c r="AA238">
        <f t="shared" si="23"/>
        <v>-13</v>
      </c>
      <c r="AB238" s="8">
        <f t="shared" si="24"/>
        <v>7367.1</v>
      </c>
      <c r="AC238">
        <f t="shared" si="25"/>
        <v>28.3</v>
      </c>
      <c r="AD238" t="str">
        <f t="shared" si="26"/>
        <v>Low</v>
      </c>
      <c r="AE238" t="str">
        <f t="shared" si="27"/>
        <v>No</v>
      </c>
    </row>
    <row r="239" spans="1:31" x14ac:dyDescent="0.35">
      <c r="A239" t="s">
        <v>345</v>
      </c>
      <c r="B239" s="5">
        <v>46132</v>
      </c>
      <c r="C239" t="s">
        <v>301</v>
      </c>
      <c r="D239" t="s">
        <v>24</v>
      </c>
      <c r="E239" t="s">
        <v>78</v>
      </c>
      <c r="F239" t="s">
        <v>27</v>
      </c>
      <c r="G239" t="s">
        <v>79</v>
      </c>
      <c r="H239" t="s">
        <v>37</v>
      </c>
      <c r="I239" t="s">
        <v>44</v>
      </c>
      <c r="J239">
        <v>869</v>
      </c>
      <c r="K239">
        <v>873</v>
      </c>
      <c r="L239">
        <v>11</v>
      </c>
      <c r="M239">
        <v>5</v>
      </c>
      <c r="N239">
        <v>775</v>
      </c>
      <c r="O239">
        <v>73.8</v>
      </c>
      <c r="P239">
        <v>11.5</v>
      </c>
      <c r="Q239" t="s">
        <v>80</v>
      </c>
      <c r="R239" t="s">
        <v>81</v>
      </c>
      <c r="S239" t="s">
        <v>82</v>
      </c>
      <c r="T239">
        <v>8</v>
      </c>
      <c r="U239">
        <v>0</v>
      </c>
      <c r="V239" s="6">
        <v>297.24</v>
      </c>
      <c r="W239" s="6">
        <v>1138.3800000000001</v>
      </c>
      <c r="X239" t="s">
        <v>83</v>
      </c>
      <c r="Y239" s="7">
        <f t="shared" si="21"/>
        <v>1.2600229095074456E-2</v>
      </c>
      <c r="Z239" s="7">
        <f t="shared" si="22"/>
        <v>0.88774341351660935</v>
      </c>
      <c r="AA239">
        <f t="shared" si="23"/>
        <v>-4</v>
      </c>
      <c r="AB239" s="8">
        <f t="shared" si="24"/>
        <v>3269.6400000000003</v>
      </c>
      <c r="AC239">
        <f t="shared" si="25"/>
        <v>32.6</v>
      </c>
      <c r="AD239" t="str">
        <f t="shared" si="26"/>
        <v>Low</v>
      </c>
      <c r="AE239" t="str">
        <f t="shared" si="27"/>
        <v>No</v>
      </c>
    </row>
    <row r="240" spans="1:31" x14ac:dyDescent="0.35">
      <c r="A240" t="s">
        <v>346</v>
      </c>
      <c r="B240" s="5">
        <v>46132</v>
      </c>
      <c r="C240" t="s">
        <v>301</v>
      </c>
      <c r="D240" t="s">
        <v>23</v>
      </c>
      <c r="E240" t="s">
        <v>78</v>
      </c>
      <c r="F240" t="s">
        <v>27</v>
      </c>
      <c r="G240" t="s">
        <v>79</v>
      </c>
      <c r="H240" t="s">
        <v>34</v>
      </c>
      <c r="I240" t="s">
        <v>42</v>
      </c>
      <c r="J240">
        <v>841</v>
      </c>
      <c r="K240">
        <v>727</v>
      </c>
      <c r="L240">
        <v>20</v>
      </c>
      <c r="M240">
        <v>10</v>
      </c>
      <c r="N240">
        <v>655</v>
      </c>
      <c r="O240">
        <v>34.6</v>
      </c>
      <c r="P240">
        <v>12.3</v>
      </c>
      <c r="Q240" t="s">
        <v>80</v>
      </c>
      <c r="R240" t="s">
        <v>81</v>
      </c>
      <c r="S240" t="s">
        <v>82</v>
      </c>
      <c r="T240">
        <v>5</v>
      </c>
      <c r="U240">
        <v>3</v>
      </c>
      <c r="V240" s="6">
        <v>176.32</v>
      </c>
      <c r="W240" s="6">
        <v>1813.41</v>
      </c>
      <c r="X240" t="s">
        <v>94</v>
      </c>
      <c r="Y240" s="7">
        <f t="shared" si="21"/>
        <v>2.7510316368638238E-2</v>
      </c>
      <c r="Z240" s="7">
        <f t="shared" si="22"/>
        <v>0.90096286107290235</v>
      </c>
      <c r="AA240">
        <f t="shared" si="23"/>
        <v>114</v>
      </c>
      <c r="AB240" s="8">
        <f t="shared" si="24"/>
        <v>3526.3999999999996</v>
      </c>
      <c r="AC240">
        <f t="shared" si="25"/>
        <v>48</v>
      </c>
      <c r="AD240" t="str">
        <f t="shared" si="26"/>
        <v>Medium</v>
      </c>
      <c r="AE240" t="str">
        <f t="shared" si="27"/>
        <v>No</v>
      </c>
    </row>
    <row r="241" spans="1:31" x14ac:dyDescent="0.35">
      <c r="A241" t="s">
        <v>347</v>
      </c>
      <c r="B241" s="5">
        <v>46132</v>
      </c>
      <c r="C241" t="s">
        <v>301</v>
      </c>
      <c r="D241" t="s">
        <v>22</v>
      </c>
      <c r="E241" t="s">
        <v>93</v>
      </c>
      <c r="F241" t="s">
        <v>29</v>
      </c>
      <c r="G241" t="s">
        <v>79</v>
      </c>
      <c r="H241" t="s">
        <v>39</v>
      </c>
      <c r="I241" t="s">
        <v>45</v>
      </c>
      <c r="J241">
        <v>1499</v>
      </c>
      <c r="K241">
        <v>1410</v>
      </c>
      <c r="L241">
        <v>42</v>
      </c>
      <c r="M241">
        <v>17</v>
      </c>
      <c r="N241">
        <v>1407</v>
      </c>
      <c r="O241">
        <v>44</v>
      </c>
      <c r="P241">
        <v>8.8000000000000007</v>
      </c>
      <c r="Q241" t="s">
        <v>96</v>
      </c>
      <c r="R241" t="s">
        <v>81</v>
      </c>
      <c r="S241" t="s">
        <v>82</v>
      </c>
      <c r="T241">
        <v>12</v>
      </c>
      <c r="U241">
        <v>6</v>
      </c>
      <c r="V241" s="6">
        <v>242.99</v>
      </c>
      <c r="W241" s="6">
        <v>5834.9</v>
      </c>
      <c r="X241" t="s">
        <v>121</v>
      </c>
      <c r="Y241" s="7">
        <f t="shared" si="21"/>
        <v>2.9787234042553193E-2</v>
      </c>
      <c r="Z241" s="7">
        <f t="shared" si="22"/>
        <v>0.99787234042553197</v>
      </c>
      <c r="AA241">
        <f t="shared" si="23"/>
        <v>89</v>
      </c>
      <c r="AB241" s="8">
        <f t="shared" si="24"/>
        <v>10205.58</v>
      </c>
      <c r="AC241">
        <f t="shared" si="25"/>
        <v>51.3</v>
      </c>
      <c r="AD241" t="str">
        <f t="shared" si="26"/>
        <v>Medium</v>
      </c>
      <c r="AE241" t="str">
        <f t="shared" si="27"/>
        <v>No</v>
      </c>
    </row>
    <row r="242" spans="1:31" x14ac:dyDescent="0.35">
      <c r="A242" t="s">
        <v>348</v>
      </c>
      <c r="B242" s="5">
        <v>46139</v>
      </c>
      <c r="C242" t="s">
        <v>301</v>
      </c>
      <c r="D242" t="s">
        <v>20</v>
      </c>
      <c r="E242" t="s">
        <v>78</v>
      </c>
      <c r="F242" t="s">
        <v>32</v>
      </c>
      <c r="G242" t="s">
        <v>90</v>
      </c>
      <c r="H242" t="s">
        <v>39</v>
      </c>
      <c r="I242" t="s">
        <v>44</v>
      </c>
      <c r="J242">
        <v>1233</v>
      </c>
      <c r="K242">
        <v>1108</v>
      </c>
      <c r="L242">
        <v>53</v>
      </c>
      <c r="M242">
        <v>43</v>
      </c>
      <c r="N242">
        <v>994</v>
      </c>
      <c r="O242">
        <v>46.5</v>
      </c>
      <c r="P242">
        <v>11.7</v>
      </c>
      <c r="Q242" t="s">
        <v>80</v>
      </c>
      <c r="R242" t="s">
        <v>81</v>
      </c>
      <c r="S242" t="s">
        <v>82</v>
      </c>
      <c r="T242">
        <v>10</v>
      </c>
      <c r="U242">
        <v>5</v>
      </c>
      <c r="V242" s="6">
        <v>46.77</v>
      </c>
      <c r="W242" s="6">
        <v>1597.47</v>
      </c>
      <c r="X242" t="s">
        <v>121</v>
      </c>
      <c r="Y242" s="7">
        <f t="shared" si="21"/>
        <v>4.7833935018050541E-2</v>
      </c>
      <c r="Z242" s="7">
        <f t="shared" si="22"/>
        <v>0.8971119133574007</v>
      </c>
      <c r="AA242">
        <f t="shared" si="23"/>
        <v>125</v>
      </c>
      <c r="AB242" s="8">
        <f t="shared" si="24"/>
        <v>2478.81</v>
      </c>
      <c r="AC242">
        <f t="shared" si="25"/>
        <v>67.7</v>
      </c>
      <c r="AD242" t="str">
        <f t="shared" si="26"/>
        <v>High</v>
      </c>
      <c r="AE242" t="str">
        <f t="shared" si="27"/>
        <v>Yes</v>
      </c>
    </row>
    <row r="243" spans="1:31" x14ac:dyDescent="0.35">
      <c r="A243" t="s">
        <v>349</v>
      </c>
      <c r="B243" s="5">
        <v>46139</v>
      </c>
      <c r="C243" t="s">
        <v>301</v>
      </c>
      <c r="D243" t="s">
        <v>24</v>
      </c>
      <c r="E243" t="s">
        <v>78</v>
      </c>
      <c r="F243" t="s">
        <v>30</v>
      </c>
      <c r="G243" t="s">
        <v>90</v>
      </c>
      <c r="H243" t="s">
        <v>39</v>
      </c>
      <c r="I243" t="s">
        <v>44</v>
      </c>
      <c r="J243">
        <v>1084</v>
      </c>
      <c r="K243">
        <v>1081</v>
      </c>
      <c r="L243">
        <v>30</v>
      </c>
      <c r="M243">
        <v>22</v>
      </c>
      <c r="N243">
        <v>1079</v>
      </c>
      <c r="O243">
        <v>75.599999999999994</v>
      </c>
      <c r="P243">
        <v>0</v>
      </c>
      <c r="Q243" t="s">
        <v>96</v>
      </c>
      <c r="R243" t="s">
        <v>81</v>
      </c>
      <c r="S243" t="s">
        <v>82</v>
      </c>
      <c r="T243">
        <v>7</v>
      </c>
      <c r="U243">
        <v>3</v>
      </c>
      <c r="V243" s="6">
        <v>405.24</v>
      </c>
      <c r="W243" s="6">
        <v>9453.77</v>
      </c>
      <c r="X243" t="s">
        <v>83</v>
      </c>
      <c r="Y243" s="7">
        <f t="shared" si="21"/>
        <v>2.7752081406105456E-2</v>
      </c>
      <c r="Z243" s="7">
        <f t="shared" si="22"/>
        <v>0.99814986123959293</v>
      </c>
      <c r="AA243">
        <f t="shared" si="23"/>
        <v>3</v>
      </c>
      <c r="AB243" s="8">
        <f t="shared" si="24"/>
        <v>12157.2</v>
      </c>
      <c r="AC243">
        <f t="shared" si="25"/>
        <v>37.799999999999997</v>
      </c>
      <c r="AD243" t="str">
        <f t="shared" si="26"/>
        <v>Low</v>
      </c>
      <c r="AE243" t="str">
        <f t="shared" si="27"/>
        <v>No</v>
      </c>
    </row>
    <row r="244" spans="1:31" x14ac:dyDescent="0.35">
      <c r="A244" t="s">
        <v>350</v>
      </c>
      <c r="B244" s="5">
        <v>46139</v>
      </c>
      <c r="C244" t="s">
        <v>301</v>
      </c>
      <c r="D244" t="s">
        <v>25</v>
      </c>
      <c r="E244" t="s">
        <v>89</v>
      </c>
      <c r="F244" t="s">
        <v>27</v>
      </c>
      <c r="G244" t="s">
        <v>85</v>
      </c>
      <c r="H244" t="s">
        <v>38</v>
      </c>
      <c r="I244" t="s">
        <v>48</v>
      </c>
      <c r="J244">
        <v>1069</v>
      </c>
      <c r="K244">
        <v>955</v>
      </c>
      <c r="L244">
        <v>28</v>
      </c>
      <c r="M244">
        <v>18</v>
      </c>
      <c r="N244">
        <v>859</v>
      </c>
      <c r="O244">
        <v>43.6</v>
      </c>
      <c r="P244">
        <v>9.6999999999999993</v>
      </c>
      <c r="Q244" t="s">
        <v>80</v>
      </c>
      <c r="R244" t="s">
        <v>81</v>
      </c>
      <c r="S244" t="s">
        <v>82</v>
      </c>
      <c r="T244">
        <v>3</v>
      </c>
      <c r="U244">
        <v>1</v>
      </c>
      <c r="V244" s="6">
        <v>274.73</v>
      </c>
      <c r="W244" s="6">
        <v>5893.81</v>
      </c>
      <c r="X244" t="s">
        <v>151</v>
      </c>
      <c r="Y244" s="7">
        <f t="shared" si="21"/>
        <v>2.9319371727748691E-2</v>
      </c>
      <c r="Z244" s="7">
        <f t="shared" si="22"/>
        <v>0.8994764397905759</v>
      </c>
      <c r="AA244">
        <f t="shared" si="23"/>
        <v>114</v>
      </c>
      <c r="AB244" s="8">
        <f t="shared" si="24"/>
        <v>7692.4400000000005</v>
      </c>
      <c r="AC244">
        <f t="shared" si="25"/>
        <v>46.5</v>
      </c>
      <c r="AD244" t="str">
        <f t="shared" si="26"/>
        <v>Medium</v>
      </c>
      <c r="AE244" t="str">
        <f t="shared" si="27"/>
        <v>No</v>
      </c>
    </row>
    <row r="245" spans="1:31" x14ac:dyDescent="0.35">
      <c r="A245" t="s">
        <v>351</v>
      </c>
      <c r="B245" s="5">
        <v>46139</v>
      </c>
      <c r="C245" t="s">
        <v>301</v>
      </c>
      <c r="D245" t="s">
        <v>20</v>
      </c>
      <c r="E245" t="s">
        <v>78</v>
      </c>
      <c r="F245" t="s">
        <v>27</v>
      </c>
      <c r="G245" t="s">
        <v>90</v>
      </c>
      <c r="H245" t="s">
        <v>37</v>
      </c>
      <c r="I245" t="s">
        <v>48</v>
      </c>
      <c r="J245">
        <v>1055</v>
      </c>
      <c r="K245">
        <v>957</v>
      </c>
      <c r="L245">
        <v>36</v>
      </c>
      <c r="M245">
        <v>25</v>
      </c>
      <c r="N245">
        <v>912</v>
      </c>
      <c r="O245">
        <v>25.7</v>
      </c>
      <c r="P245">
        <v>0</v>
      </c>
      <c r="Q245" t="s">
        <v>96</v>
      </c>
      <c r="R245" t="s">
        <v>81</v>
      </c>
      <c r="S245" t="s">
        <v>82</v>
      </c>
      <c r="T245">
        <v>4</v>
      </c>
      <c r="U245">
        <v>4</v>
      </c>
      <c r="V245" s="6">
        <v>45.98</v>
      </c>
      <c r="W245" s="6">
        <v>846.05</v>
      </c>
      <c r="X245" t="s">
        <v>94</v>
      </c>
      <c r="Y245" s="7">
        <f t="shared" si="21"/>
        <v>3.7617554858934171E-2</v>
      </c>
      <c r="Z245" s="7">
        <f t="shared" si="22"/>
        <v>0.95297805642633227</v>
      </c>
      <c r="AA245">
        <f t="shared" si="23"/>
        <v>98</v>
      </c>
      <c r="AB245" s="8">
        <f t="shared" si="24"/>
        <v>1655.28</v>
      </c>
      <c r="AC245">
        <f t="shared" si="25"/>
        <v>49.7</v>
      </c>
      <c r="AD245" t="str">
        <f t="shared" si="26"/>
        <v>Medium</v>
      </c>
      <c r="AE245" t="str">
        <f t="shared" si="27"/>
        <v>No</v>
      </c>
    </row>
    <row r="246" spans="1:31" x14ac:dyDescent="0.35">
      <c r="A246" t="s">
        <v>352</v>
      </c>
      <c r="B246" s="5">
        <v>46139</v>
      </c>
      <c r="C246" t="s">
        <v>301</v>
      </c>
      <c r="D246" t="s">
        <v>22</v>
      </c>
      <c r="E246" t="s">
        <v>93</v>
      </c>
      <c r="F246" t="s">
        <v>27</v>
      </c>
      <c r="G246" t="s">
        <v>90</v>
      </c>
      <c r="H246" t="s">
        <v>36</v>
      </c>
      <c r="I246" t="s">
        <v>42</v>
      </c>
      <c r="J246">
        <v>1005</v>
      </c>
      <c r="K246">
        <v>973</v>
      </c>
      <c r="L246">
        <v>14</v>
      </c>
      <c r="M246">
        <v>11</v>
      </c>
      <c r="N246">
        <v>886</v>
      </c>
      <c r="O246">
        <v>52.5</v>
      </c>
      <c r="P246">
        <v>13.6</v>
      </c>
      <c r="Q246" t="s">
        <v>80</v>
      </c>
      <c r="R246" t="s">
        <v>81</v>
      </c>
      <c r="S246" t="s">
        <v>82</v>
      </c>
      <c r="T246">
        <v>2</v>
      </c>
      <c r="U246">
        <v>0</v>
      </c>
      <c r="V246" s="6">
        <v>283.42</v>
      </c>
      <c r="W246" s="6">
        <v>2626.4</v>
      </c>
      <c r="X246" t="s">
        <v>94</v>
      </c>
      <c r="Y246" s="7">
        <f t="shared" si="21"/>
        <v>1.4388489208633094E-2</v>
      </c>
      <c r="Z246" s="7">
        <f t="shared" si="22"/>
        <v>0.91058581706063724</v>
      </c>
      <c r="AA246">
        <f t="shared" si="23"/>
        <v>32</v>
      </c>
      <c r="AB246" s="8">
        <f t="shared" si="24"/>
        <v>3967.88</v>
      </c>
      <c r="AC246">
        <f t="shared" si="25"/>
        <v>36.1</v>
      </c>
      <c r="AD246" t="str">
        <f t="shared" si="26"/>
        <v>Low</v>
      </c>
      <c r="AE246" t="str">
        <f t="shared" si="27"/>
        <v>No</v>
      </c>
    </row>
    <row r="247" spans="1:31" x14ac:dyDescent="0.35">
      <c r="A247" t="s">
        <v>353</v>
      </c>
      <c r="B247" s="5">
        <v>46139</v>
      </c>
      <c r="C247" t="s">
        <v>301</v>
      </c>
      <c r="D247" t="s">
        <v>20</v>
      </c>
      <c r="E247" t="s">
        <v>78</v>
      </c>
      <c r="F247" t="s">
        <v>31</v>
      </c>
      <c r="G247" t="s">
        <v>90</v>
      </c>
      <c r="H247" t="s">
        <v>36</v>
      </c>
      <c r="I247" t="s">
        <v>42</v>
      </c>
      <c r="J247">
        <v>1400</v>
      </c>
      <c r="K247">
        <v>1331</v>
      </c>
      <c r="L247">
        <v>25</v>
      </c>
      <c r="M247">
        <v>14</v>
      </c>
      <c r="N247">
        <v>1283</v>
      </c>
      <c r="O247">
        <v>67.7</v>
      </c>
      <c r="P247">
        <v>7.1</v>
      </c>
      <c r="Q247" t="s">
        <v>80</v>
      </c>
      <c r="R247" t="s">
        <v>99</v>
      </c>
      <c r="S247" t="s">
        <v>82</v>
      </c>
      <c r="T247">
        <v>4</v>
      </c>
      <c r="U247">
        <v>0</v>
      </c>
      <c r="V247" s="6">
        <v>351.24</v>
      </c>
      <c r="W247" s="6">
        <v>4830.8999999999996</v>
      </c>
      <c r="X247" t="s">
        <v>94</v>
      </c>
      <c r="Y247" s="7">
        <f t="shared" si="21"/>
        <v>1.8782870022539443E-2</v>
      </c>
      <c r="Z247" s="7">
        <f t="shared" si="22"/>
        <v>0.9639368895567243</v>
      </c>
      <c r="AA247">
        <f t="shared" si="23"/>
        <v>69</v>
      </c>
      <c r="AB247" s="8">
        <f t="shared" si="24"/>
        <v>8781</v>
      </c>
      <c r="AC247">
        <f t="shared" si="25"/>
        <v>49.6</v>
      </c>
      <c r="AD247" t="str">
        <f t="shared" si="26"/>
        <v>Medium</v>
      </c>
      <c r="AE247" t="str">
        <f t="shared" si="27"/>
        <v>Yes</v>
      </c>
    </row>
    <row r="248" spans="1:31" x14ac:dyDescent="0.35">
      <c r="A248" t="s">
        <v>354</v>
      </c>
      <c r="B248" s="5">
        <v>46139</v>
      </c>
      <c r="C248" t="s">
        <v>301</v>
      </c>
      <c r="D248" t="s">
        <v>24</v>
      </c>
      <c r="E248" t="s">
        <v>78</v>
      </c>
      <c r="F248" t="s">
        <v>29</v>
      </c>
      <c r="G248" t="s">
        <v>90</v>
      </c>
      <c r="H248" t="s">
        <v>39</v>
      </c>
      <c r="I248" t="s">
        <v>48</v>
      </c>
      <c r="J248">
        <v>1357</v>
      </c>
      <c r="K248">
        <v>1356</v>
      </c>
      <c r="L248">
        <v>23</v>
      </c>
      <c r="M248">
        <v>12</v>
      </c>
      <c r="N248">
        <v>1342</v>
      </c>
      <c r="O248">
        <v>69.2</v>
      </c>
      <c r="P248">
        <v>2.4</v>
      </c>
      <c r="Q248" t="s">
        <v>80</v>
      </c>
      <c r="R248" t="s">
        <v>81</v>
      </c>
      <c r="S248" t="s">
        <v>138</v>
      </c>
      <c r="T248">
        <v>9</v>
      </c>
      <c r="U248">
        <v>1</v>
      </c>
      <c r="V248" s="6">
        <v>80.86</v>
      </c>
      <c r="W248" s="6">
        <v>1277.56</v>
      </c>
      <c r="X248" t="s">
        <v>94</v>
      </c>
      <c r="Y248" s="7">
        <f t="shared" si="21"/>
        <v>1.696165191740413E-2</v>
      </c>
      <c r="Z248" s="7">
        <f t="shared" si="22"/>
        <v>0.98967551622418881</v>
      </c>
      <c r="AA248">
        <f t="shared" si="23"/>
        <v>1</v>
      </c>
      <c r="AB248" s="8">
        <f t="shared" si="24"/>
        <v>1859.78</v>
      </c>
      <c r="AC248">
        <f t="shared" si="25"/>
        <v>32.5</v>
      </c>
      <c r="AD248" t="str">
        <f t="shared" si="26"/>
        <v>Low</v>
      </c>
      <c r="AE248" t="str">
        <f t="shared" si="27"/>
        <v>Yes</v>
      </c>
    </row>
    <row r="249" spans="1:31" x14ac:dyDescent="0.35">
      <c r="A249" t="s">
        <v>355</v>
      </c>
      <c r="B249" s="5">
        <v>46139</v>
      </c>
      <c r="C249" t="s">
        <v>301</v>
      </c>
      <c r="D249" t="s">
        <v>23</v>
      </c>
      <c r="E249" t="s">
        <v>78</v>
      </c>
      <c r="F249" t="s">
        <v>32</v>
      </c>
      <c r="G249" t="s">
        <v>90</v>
      </c>
      <c r="H249" t="s">
        <v>37</v>
      </c>
      <c r="I249" t="s">
        <v>47</v>
      </c>
      <c r="J249">
        <v>1420</v>
      </c>
      <c r="K249">
        <v>1198</v>
      </c>
      <c r="L249">
        <v>15</v>
      </c>
      <c r="M249">
        <v>11</v>
      </c>
      <c r="N249">
        <v>1165</v>
      </c>
      <c r="O249">
        <v>24.9</v>
      </c>
      <c r="P249">
        <v>3.9</v>
      </c>
      <c r="Q249" t="s">
        <v>86</v>
      </c>
      <c r="R249" t="s">
        <v>81</v>
      </c>
      <c r="S249" t="s">
        <v>82</v>
      </c>
      <c r="T249">
        <v>7</v>
      </c>
      <c r="U249">
        <v>0</v>
      </c>
      <c r="V249" s="6">
        <v>175.16</v>
      </c>
      <c r="W249" s="6">
        <v>1812.4</v>
      </c>
      <c r="X249" t="s">
        <v>83</v>
      </c>
      <c r="Y249" s="7">
        <f t="shared" si="21"/>
        <v>1.2520868113522538E-2</v>
      </c>
      <c r="Z249" s="7">
        <f t="shared" si="22"/>
        <v>0.97245409015025042</v>
      </c>
      <c r="AA249">
        <f t="shared" si="23"/>
        <v>222</v>
      </c>
      <c r="AB249" s="8">
        <f t="shared" si="24"/>
        <v>2627.4</v>
      </c>
      <c r="AC249">
        <f t="shared" si="25"/>
        <v>36.799999999999997</v>
      </c>
      <c r="AD249" t="str">
        <f t="shared" si="26"/>
        <v>Low</v>
      </c>
      <c r="AE249" t="str">
        <f t="shared" si="27"/>
        <v>Yes</v>
      </c>
    </row>
    <row r="250" spans="1:31" x14ac:dyDescent="0.35">
      <c r="A250" t="s">
        <v>356</v>
      </c>
      <c r="B250" s="5">
        <v>46139</v>
      </c>
      <c r="C250" t="s">
        <v>301</v>
      </c>
      <c r="D250" t="s">
        <v>22</v>
      </c>
      <c r="E250" t="s">
        <v>93</v>
      </c>
      <c r="F250" t="s">
        <v>32</v>
      </c>
      <c r="G250" t="s">
        <v>79</v>
      </c>
      <c r="H250" t="s">
        <v>37</v>
      </c>
      <c r="I250" t="s">
        <v>45</v>
      </c>
      <c r="J250">
        <v>1086</v>
      </c>
      <c r="K250">
        <v>1042</v>
      </c>
      <c r="L250">
        <v>51</v>
      </c>
      <c r="M250">
        <v>30</v>
      </c>
      <c r="N250">
        <v>1022</v>
      </c>
      <c r="O250">
        <v>28.6</v>
      </c>
      <c r="P250">
        <v>13</v>
      </c>
      <c r="Q250" t="s">
        <v>86</v>
      </c>
      <c r="R250" t="s">
        <v>81</v>
      </c>
      <c r="S250" t="s">
        <v>100</v>
      </c>
      <c r="T250">
        <v>9</v>
      </c>
      <c r="U250">
        <v>7</v>
      </c>
      <c r="V250" s="6">
        <v>270.51</v>
      </c>
      <c r="W250" s="6">
        <v>4945.2</v>
      </c>
      <c r="X250" t="s">
        <v>87</v>
      </c>
      <c r="Y250" s="7">
        <f t="shared" si="21"/>
        <v>4.894433781190019E-2</v>
      </c>
      <c r="Z250" s="7">
        <f t="shared" si="22"/>
        <v>0.98080614203454897</v>
      </c>
      <c r="AA250">
        <f t="shared" si="23"/>
        <v>44</v>
      </c>
      <c r="AB250" s="8">
        <f t="shared" si="24"/>
        <v>13796.01</v>
      </c>
      <c r="AC250">
        <f t="shared" si="25"/>
        <v>84.7</v>
      </c>
      <c r="AD250" t="str">
        <f t="shared" si="26"/>
        <v>High</v>
      </c>
      <c r="AE250" t="str">
        <f t="shared" si="27"/>
        <v>Yes</v>
      </c>
    </row>
    <row r="251" spans="1:31" x14ac:dyDescent="0.35">
      <c r="A251" t="s">
        <v>357</v>
      </c>
      <c r="B251" s="5">
        <v>46139</v>
      </c>
      <c r="C251" t="s">
        <v>301</v>
      </c>
      <c r="D251" t="s">
        <v>25</v>
      </c>
      <c r="E251" t="s">
        <v>89</v>
      </c>
      <c r="F251" t="s">
        <v>32</v>
      </c>
      <c r="G251" t="s">
        <v>79</v>
      </c>
      <c r="H251" t="s">
        <v>36</v>
      </c>
      <c r="I251" t="s">
        <v>46</v>
      </c>
      <c r="J251">
        <v>793</v>
      </c>
      <c r="K251">
        <v>683</v>
      </c>
      <c r="L251">
        <v>14</v>
      </c>
      <c r="M251">
        <v>9</v>
      </c>
      <c r="N251">
        <v>613</v>
      </c>
      <c r="O251">
        <v>21.2</v>
      </c>
      <c r="P251">
        <v>8.6</v>
      </c>
      <c r="Q251" t="s">
        <v>86</v>
      </c>
      <c r="R251" t="s">
        <v>81</v>
      </c>
      <c r="S251" t="s">
        <v>82</v>
      </c>
      <c r="T251">
        <v>3</v>
      </c>
      <c r="U251">
        <v>0</v>
      </c>
      <c r="V251" s="6">
        <v>416.62</v>
      </c>
      <c r="W251" s="6">
        <v>2178.34</v>
      </c>
      <c r="X251" t="s">
        <v>87</v>
      </c>
      <c r="Y251" s="7">
        <f t="shared" si="21"/>
        <v>2.0497803806734993E-2</v>
      </c>
      <c r="Z251" s="7">
        <f t="shared" si="22"/>
        <v>0.89751098096632509</v>
      </c>
      <c r="AA251">
        <f t="shared" si="23"/>
        <v>110</v>
      </c>
      <c r="AB251" s="8">
        <f t="shared" si="24"/>
        <v>5832.68</v>
      </c>
      <c r="AC251">
        <f t="shared" si="25"/>
        <v>54.3</v>
      </c>
      <c r="AD251" t="str">
        <f t="shared" si="26"/>
        <v>Medium</v>
      </c>
      <c r="AE251" t="str">
        <f t="shared" si="27"/>
        <v>Yes</v>
      </c>
    </row>
    <row r="252" spans="1:31" x14ac:dyDescent="0.35">
      <c r="A252" t="s">
        <v>358</v>
      </c>
      <c r="B252" s="5">
        <v>46139</v>
      </c>
      <c r="C252" t="s">
        <v>301</v>
      </c>
      <c r="D252" t="s">
        <v>22</v>
      </c>
      <c r="E252" t="s">
        <v>93</v>
      </c>
      <c r="F252" t="s">
        <v>27</v>
      </c>
      <c r="G252" t="s">
        <v>85</v>
      </c>
      <c r="H252" t="s">
        <v>39</v>
      </c>
      <c r="I252" t="s">
        <v>45</v>
      </c>
      <c r="J252">
        <v>1543</v>
      </c>
      <c r="K252">
        <v>1436</v>
      </c>
      <c r="L252">
        <v>60</v>
      </c>
      <c r="M252">
        <v>21</v>
      </c>
      <c r="N252">
        <v>1359</v>
      </c>
      <c r="O252">
        <v>40.4</v>
      </c>
      <c r="P252">
        <v>14.6</v>
      </c>
      <c r="Q252" t="s">
        <v>80</v>
      </c>
      <c r="R252" t="s">
        <v>81</v>
      </c>
      <c r="S252" t="s">
        <v>82</v>
      </c>
      <c r="T252">
        <v>15</v>
      </c>
      <c r="U252">
        <v>5</v>
      </c>
      <c r="V252" s="6">
        <v>415.78</v>
      </c>
      <c r="W252" s="6">
        <v>17158.87</v>
      </c>
      <c r="X252" t="s">
        <v>94</v>
      </c>
      <c r="Y252" s="7">
        <f t="shared" si="21"/>
        <v>4.1782729805013928E-2</v>
      </c>
      <c r="Z252" s="7">
        <f t="shared" si="22"/>
        <v>0.94637883008356549</v>
      </c>
      <c r="AA252">
        <f t="shared" si="23"/>
        <v>107</v>
      </c>
      <c r="AB252" s="8">
        <f t="shared" si="24"/>
        <v>24946.799999999999</v>
      </c>
      <c r="AC252">
        <f t="shared" si="25"/>
        <v>63.2</v>
      </c>
      <c r="AD252" t="str">
        <f t="shared" si="26"/>
        <v>Medium</v>
      </c>
      <c r="AE252" t="str">
        <f t="shared" si="27"/>
        <v>No</v>
      </c>
    </row>
    <row r="253" spans="1:31" x14ac:dyDescent="0.35">
      <c r="A253" t="s">
        <v>359</v>
      </c>
      <c r="B253" s="5">
        <v>46139</v>
      </c>
      <c r="C253" t="s">
        <v>301</v>
      </c>
      <c r="D253" t="s">
        <v>24</v>
      </c>
      <c r="E253" t="s">
        <v>78</v>
      </c>
      <c r="F253" t="s">
        <v>32</v>
      </c>
      <c r="G253" t="s">
        <v>79</v>
      </c>
      <c r="H253" t="s">
        <v>37</v>
      </c>
      <c r="I253" t="s">
        <v>46</v>
      </c>
      <c r="J253">
        <v>1279</v>
      </c>
      <c r="K253">
        <v>1185</v>
      </c>
      <c r="L253">
        <v>38</v>
      </c>
      <c r="M253">
        <v>20</v>
      </c>
      <c r="N253">
        <v>1087</v>
      </c>
      <c r="O253">
        <v>54.4</v>
      </c>
      <c r="P253">
        <v>18.7</v>
      </c>
      <c r="Q253" t="s">
        <v>80</v>
      </c>
      <c r="R253" t="s">
        <v>81</v>
      </c>
      <c r="S253" t="s">
        <v>82</v>
      </c>
      <c r="T253">
        <v>10</v>
      </c>
      <c r="U253">
        <v>4</v>
      </c>
      <c r="V253" s="6">
        <v>133.30000000000001</v>
      </c>
      <c r="W253" s="6">
        <v>3424.12</v>
      </c>
      <c r="X253" t="s">
        <v>94</v>
      </c>
      <c r="Y253" s="7">
        <f t="shared" si="21"/>
        <v>3.2067510548523206E-2</v>
      </c>
      <c r="Z253" s="7">
        <f t="shared" si="22"/>
        <v>0.9172995780590717</v>
      </c>
      <c r="AA253">
        <f t="shared" si="23"/>
        <v>94</v>
      </c>
      <c r="AB253" s="8">
        <f t="shared" si="24"/>
        <v>5065.4000000000005</v>
      </c>
      <c r="AC253">
        <f t="shared" si="25"/>
        <v>60.1</v>
      </c>
      <c r="AD253" t="str">
        <f t="shared" si="26"/>
        <v>Medium</v>
      </c>
      <c r="AE253" t="str">
        <f t="shared" si="27"/>
        <v>No</v>
      </c>
    </row>
    <row r="254" spans="1:31" x14ac:dyDescent="0.35">
      <c r="A254" t="s">
        <v>360</v>
      </c>
      <c r="B254" s="5">
        <v>46139</v>
      </c>
      <c r="C254" t="s">
        <v>301</v>
      </c>
      <c r="D254" t="s">
        <v>22</v>
      </c>
      <c r="E254" t="s">
        <v>93</v>
      </c>
      <c r="F254" t="s">
        <v>29</v>
      </c>
      <c r="G254" t="s">
        <v>85</v>
      </c>
      <c r="H254" t="s">
        <v>37</v>
      </c>
      <c r="I254" t="s">
        <v>45</v>
      </c>
      <c r="J254">
        <v>1325</v>
      </c>
      <c r="K254">
        <v>1137</v>
      </c>
      <c r="L254">
        <v>31</v>
      </c>
      <c r="M254">
        <v>24</v>
      </c>
      <c r="N254">
        <v>1115</v>
      </c>
      <c r="O254">
        <v>34.1</v>
      </c>
      <c r="P254">
        <v>13.3</v>
      </c>
      <c r="Q254" t="s">
        <v>80</v>
      </c>
      <c r="R254" t="s">
        <v>81</v>
      </c>
      <c r="S254" t="s">
        <v>82</v>
      </c>
      <c r="T254">
        <v>3</v>
      </c>
      <c r="U254">
        <v>2</v>
      </c>
      <c r="V254" s="6">
        <v>29.48</v>
      </c>
      <c r="W254" s="6">
        <v>267.25</v>
      </c>
      <c r="X254" t="s">
        <v>115</v>
      </c>
      <c r="Y254" s="7">
        <f t="shared" si="21"/>
        <v>2.7264731750219876E-2</v>
      </c>
      <c r="Z254" s="7">
        <f t="shared" si="22"/>
        <v>0.98065083553210197</v>
      </c>
      <c r="AA254">
        <f t="shared" si="23"/>
        <v>188</v>
      </c>
      <c r="AB254" s="8">
        <f t="shared" si="24"/>
        <v>913.88</v>
      </c>
      <c r="AC254">
        <f t="shared" si="25"/>
        <v>45.4</v>
      </c>
      <c r="AD254" t="str">
        <f t="shared" si="26"/>
        <v>Medium</v>
      </c>
      <c r="AE254" t="str">
        <f t="shared" si="27"/>
        <v>No</v>
      </c>
    </row>
    <row r="255" spans="1:31" x14ac:dyDescent="0.35">
      <c r="A255" t="s">
        <v>361</v>
      </c>
      <c r="B255" s="5">
        <v>46139</v>
      </c>
      <c r="C255" t="s">
        <v>301</v>
      </c>
      <c r="D255" t="s">
        <v>25</v>
      </c>
      <c r="E255" t="s">
        <v>89</v>
      </c>
      <c r="F255" t="s">
        <v>32</v>
      </c>
      <c r="G255" t="s">
        <v>90</v>
      </c>
      <c r="H255" t="s">
        <v>39</v>
      </c>
      <c r="I255" t="s">
        <v>46</v>
      </c>
      <c r="J255">
        <v>820</v>
      </c>
      <c r="K255">
        <v>801</v>
      </c>
      <c r="L255">
        <v>10</v>
      </c>
      <c r="M255">
        <v>6</v>
      </c>
      <c r="N255">
        <v>710</v>
      </c>
      <c r="O255">
        <v>39.299999999999997</v>
      </c>
      <c r="P255">
        <v>12</v>
      </c>
      <c r="Q255" t="s">
        <v>80</v>
      </c>
      <c r="R255" t="s">
        <v>81</v>
      </c>
      <c r="S255" t="s">
        <v>82</v>
      </c>
      <c r="T255">
        <v>4</v>
      </c>
      <c r="U255">
        <v>5</v>
      </c>
      <c r="V255" s="6">
        <v>271.8</v>
      </c>
      <c r="W255" s="6">
        <v>1586.62</v>
      </c>
      <c r="X255" t="s">
        <v>115</v>
      </c>
      <c r="Y255" s="7">
        <f t="shared" si="21"/>
        <v>1.2484394506866416E-2</v>
      </c>
      <c r="Z255" s="7">
        <f t="shared" si="22"/>
        <v>0.88639200998751555</v>
      </c>
      <c r="AA255">
        <f t="shared" si="23"/>
        <v>19</v>
      </c>
      <c r="AB255" s="8">
        <f t="shared" si="24"/>
        <v>2718</v>
      </c>
      <c r="AC255">
        <f t="shared" si="25"/>
        <v>33.200000000000003</v>
      </c>
      <c r="AD255" t="str">
        <f t="shared" si="26"/>
        <v>Low</v>
      </c>
      <c r="AE255" t="str">
        <f t="shared" si="27"/>
        <v>No</v>
      </c>
    </row>
    <row r="256" spans="1:31" x14ac:dyDescent="0.35">
      <c r="A256" t="s">
        <v>362</v>
      </c>
      <c r="B256" s="5">
        <v>46139</v>
      </c>
      <c r="C256" t="s">
        <v>301</v>
      </c>
      <c r="D256" t="s">
        <v>23</v>
      </c>
      <c r="E256" t="s">
        <v>78</v>
      </c>
      <c r="F256" t="s">
        <v>31</v>
      </c>
      <c r="G256" t="s">
        <v>85</v>
      </c>
      <c r="H256" t="s">
        <v>38</v>
      </c>
      <c r="I256" t="s">
        <v>46</v>
      </c>
      <c r="J256">
        <v>940</v>
      </c>
      <c r="K256">
        <v>854</v>
      </c>
      <c r="L256">
        <v>26</v>
      </c>
      <c r="M256">
        <v>13</v>
      </c>
      <c r="N256">
        <v>764</v>
      </c>
      <c r="O256">
        <v>69.7</v>
      </c>
      <c r="P256">
        <v>3.3</v>
      </c>
      <c r="Q256" t="s">
        <v>80</v>
      </c>
      <c r="R256" t="s">
        <v>81</v>
      </c>
      <c r="S256" t="s">
        <v>82</v>
      </c>
      <c r="T256">
        <v>7</v>
      </c>
      <c r="U256">
        <v>0</v>
      </c>
      <c r="V256" s="6">
        <v>100.22</v>
      </c>
      <c r="W256" s="6">
        <v>1927.04</v>
      </c>
      <c r="X256" t="s">
        <v>94</v>
      </c>
      <c r="Y256" s="7">
        <f t="shared" si="21"/>
        <v>3.0444964871194378E-2</v>
      </c>
      <c r="Z256" s="7">
        <f t="shared" si="22"/>
        <v>0.8946135831381733</v>
      </c>
      <c r="AA256">
        <f t="shared" si="23"/>
        <v>86</v>
      </c>
      <c r="AB256" s="8">
        <f t="shared" si="24"/>
        <v>2605.7199999999998</v>
      </c>
      <c r="AC256">
        <f t="shared" si="25"/>
        <v>39.5</v>
      </c>
      <c r="AD256" t="str">
        <f t="shared" si="26"/>
        <v>Low</v>
      </c>
      <c r="AE256" t="str">
        <f t="shared" si="27"/>
        <v>No</v>
      </c>
    </row>
    <row r="257" spans="1:31" x14ac:dyDescent="0.35">
      <c r="A257" t="s">
        <v>363</v>
      </c>
      <c r="B257" s="5">
        <v>46146</v>
      </c>
      <c r="C257" t="s">
        <v>364</v>
      </c>
      <c r="D257" t="s">
        <v>20</v>
      </c>
      <c r="E257" t="s">
        <v>78</v>
      </c>
      <c r="F257" t="s">
        <v>29</v>
      </c>
      <c r="G257" t="s">
        <v>79</v>
      </c>
      <c r="H257" t="s">
        <v>34</v>
      </c>
      <c r="I257" t="s">
        <v>45</v>
      </c>
      <c r="J257">
        <v>811</v>
      </c>
      <c r="K257">
        <v>758</v>
      </c>
      <c r="L257">
        <v>18</v>
      </c>
      <c r="M257">
        <v>9</v>
      </c>
      <c r="N257">
        <v>711</v>
      </c>
      <c r="O257">
        <v>61.3</v>
      </c>
      <c r="P257">
        <v>5.8</v>
      </c>
      <c r="Q257" t="s">
        <v>80</v>
      </c>
      <c r="R257" t="s">
        <v>81</v>
      </c>
      <c r="S257" t="s">
        <v>82</v>
      </c>
      <c r="T257">
        <v>8</v>
      </c>
      <c r="U257">
        <v>3</v>
      </c>
      <c r="V257" s="6">
        <v>441.48</v>
      </c>
      <c r="W257" s="6">
        <v>5851.08</v>
      </c>
      <c r="X257" t="s">
        <v>94</v>
      </c>
      <c r="Y257" s="7">
        <f t="shared" si="21"/>
        <v>2.3746701846965697E-2</v>
      </c>
      <c r="Z257" s="7">
        <f t="shared" si="22"/>
        <v>0.93799472295514508</v>
      </c>
      <c r="AA257">
        <f t="shared" si="23"/>
        <v>53</v>
      </c>
      <c r="AB257" s="8">
        <f t="shared" si="24"/>
        <v>7946.64</v>
      </c>
      <c r="AC257">
        <f t="shared" si="25"/>
        <v>34.1</v>
      </c>
      <c r="AD257" t="str">
        <f t="shared" si="26"/>
        <v>Low</v>
      </c>
      <c r="AE257" t="str">
        <f t="shared" si="27"/>
        <v>No</v>
      </c>
    </row>
    <row r="258" spans="1:31" x14ac:dyDescent="0.35">
      <c r="A258" t="s">
        <v>365</v>
      </c>
      <c r="B258" s="5">
        <v>46146</v>
      </c>
      <c r="C258" t="s">
        <v>364</v>
      </c>
      <c r="D258" t="s">
        <v>24</v>
      </c>
      <c r="E258" t="s">
        <v>78</v>
      </c>
      <c r="F258" t="s">
        <v>32</v>
      </c>
      <c r="G258" t="s">
        <v>85</v>
      </c>
      <c r="H258" t="s">
        <v>38</v>
      </c>
      <c r="I258" t="s">
        <v>48</v>
      </c>
      <c r="J258">
        <v>1384</v>
      </c>
      <c r="K258">
        <v>1257</v>
      </c>
      <c r="L258">
        <v>29</v>
      </c>
      <c r="M258">
        <v>23</v>
      </c>
      <c r="N258">
        <v>1167</v>
      </c>
      <c r="O258">
        <v>54.1</v>
      </c>
      <c r="P258">
        <v>17.399999999999999</v>
      </c>
      <c r="Q258" t="s">
        <v>86</v>
      </c>
      <c r="R258" t="s">
        <v>81</v>
      </c>
      <c r="S258" t="s">
        <v>82</v>
      </c>
      <c r="T258">
        <v>4</v>
      </c>
      <c r="U258">
        <v>2</v>
      </c>
      <c r="V258" s="6">
        <v>445.71</v>
      </c>
      <c r="W258" s="6">
        <v>5000.51</v>
      </c>
      <c r="X258" t="s">
        <v>151</v>
      </c>
      <c r="Y258" s="7">
        <f t="shared" ref="Y258:Y321" si="28">IFERROR(L258/K258,0)</f>
        <v>2.3070803500397773E-2</v>
      </c>
      <c r="Z258" s="7">
        <f t="shared" ref="Z258:Z321" si="29">IFERROR(N258/K258,0)</f>
        <v>0.9284009546539379</v>
      </c>
      <c r="AA258">
        <f t="shared" ref="AA258:AA321" si="30">J258-K258</f>
        <v>127</v>
      </c>
      <c r="AB258" s="8">
        <f t="shared" ref="AB258:AB321" si="31">L258*V258</f>
        <v>12925.59</v>
      </c>
      <c r="AC258">
        <f t="shared" ref="AC258:AC321" si="32">ROUND(MIN(100,(Y258*1000)+(1-Z258)*45+(P258*1.3)+IF(Q258="Late",18,IF(Q258="Pending",10,0))+IF(R258="Yes",20,0)+IF(S258="Decision Required",12,0)),1)</f>
        <v>66.900000000000006</v>
      </c>
      <c r="AD258" t="str">
        <f t="shared" ref="AD258:AD321" si="33">IF(AC258&gt;=65,"High",IF(AC258&gt;=40,"Medium","Low"))</f>
        <v>High</v>
      </c>
      <c r="AE258" t="str">
        <f t="shared" ref="AE258:AE321" si="34">IF(OR(AD258="High",Q258="Late",R258="Yes",S258="Decision Required"),"Yes","No")</f>
        <v>Yes</v>
      </c>
    </row>
    <row r="259" spans="1:31" x14ac:dyDescent="0.35">
      <c r="A259" t="s">
        <v>366</v>
      </c>
      <c r="B259" s="5">
        <v>46146</v>
      </c>
      <c r="C259" t="s">
        <v>364</v>
      </c>
      <c r="D259" t="s">
        <v>24</v>
      </c>
      <c r="E259" t="s">
        <v>78</v>
      </c>
      <c r="F259" t="s">
        <v>30</v>
      </c>
      <c r="G259" t="s">
        <v>85</v>
      </c>
      <c r="H259" t="s">
        <v>40</v>
      </c>
      <c r="I259" t="s">
        <v>46</v>
      </c>
      <c r="J259">
        <v>960</v>
      </c>
      <c r="K259">
        <v>935</v>
      </c>
      <c r="L259">
        <v>15</v>
      </c>
      <c r="M259">
        <v>8</v>
      </c>
      <c r="N259">
        <v>881</v>
      </c>
      <c r="O259">
        <v>25.2</v>
      </c>
      <c r="P259">
        <v>13.9</v>
      </c>
      <c r="Q259" t="s">
        <v>80</v>
      </c>
      <c r="R259" t="s">
        <v>81</v>
      </c>
      <c r="S259" t="s">
        <v>82</v>
      </c>
      <c r="T259">
        <v>0</v>
      </c>
      <c r="U259">
        <v>1</v>
      </c>
      <c r="V259" s="6">
        <v>309.98</v>
      </c>
      <c r="W259" s="6">
        <v>2234.98</v>
      </c>
      <c r="X259" t="s">
        <v>94</v>
      </c>
      <c r="Y259" s="7">
        <f t="shared" si="28"/>
        <v>1.6042780748663103E-2</v>
      </c>
      <c r="Z259" s="7">
        <f t="shared" si="29"/>
        <v>0.94224598930481285</v>
      </c>
      <c r="AA259">
        <f t="shared" si="30"/>
        <v>25</v>
      </c>
      <c r="AB259" s="8">
        <f t="shared" si="31"/>
        <v>4649.7000000000007</v>
      </c>
      <c r="AC259">
        <f t="shared" si="32"/>
        <v>36.700000000000003</v>
      </c>
      <c r="AD259" t="str">
        <f t="shared" si="33"/>
        <v>Low</v>
      </c>
      <c r="AE259" t="str">
        <f t="shared" si="34"/>
        <v>No</v>
      </c>
    </row>
    <row r="260" spans="1:31" x14ac:dyDescent="0.35">
      <c r="A260" t="s">
        <v>367</v>
      </c>
      <c r="B260" s="5">
        <v>46146</v>
      </c>
      <c r="C260" t="s">
        <v>364</v>
      </c>
      <c r="D260" t="s">
        <v>23</v>
      </c>
      <c r="E260" t="s">
        <v>78</v>
      </c>
      <c r="F260" t="s">
        <v>27</v>
      </c>
      <c r="G260" t="s">
        <v>85</v>
      </c>
      <c r="H260" t="s">
        <v>34</v>
      </c>
      <c r="I260" t="s">
        <v>48</v>
      </c>
      <c r="J260">
        <v>1175</v>
      </c>
      <c r="K260">
        <v>1009</v>
      </c>
      <c r="L260">
        <v>32</v>
      </c>
      <c r="M260">
        <v>16</v>
      </c>
      <c r="N260">
        <v>1008</v>
      </c>
      <c r="O260">
        <v>21.8</v>
      </c>
      <c r="P260">
        <v>11.4</v>
      </c>
      <c r="Q260" t="s">
        <v>80</v>
      </c>
      <c r="R260" t="s">
        <v>81</v>
      </c>
      <c r="S260" t="s">
        <v>82</v>
      </c>
      <c r="T260">
        <v>2</v>
      </c>
      <c r="U260">
        <v>3</v>
      </c>
      <c r="V260" s="6">
        <v>296.81</v>
      </c>
      <c r="W260" s="6">
        <v>5103.71</v>
      </c>
      <c r="X260" t="s">
        <v>110</v>
      </c>
      <c r="Y260" s="7">
        <f t="shared" si="28"/>
        <v>3.1714568880079286E-2</v>
      </c>
      <c r="Z260" s="7">
        <f t="shared" si="29"/>
        <v>0.9990089197224975</v>
      </c>
      <c r="AA260">
        <f t="shared" si="30"/>
        <v>166</v>
      </c>
      <c r="AB260" s="8">
        <f t="shared" si="31"/>
        <v>9497.92</v>
      </c>
      <c r="AC260">
        <f t="shared" si="32"/>
        <v>46.6</v>
      </c>
      <c r="AD260" t="str">
        <f t="shared" si="33"/>
        <v>Medium</v>
      </c>
      <c r="AE260" t="str">
        <f t="shared" si="34"/>
        <v>No</v>
      </c>
    </row>
    <row r="261" spans="1:31" x14ac:dyDescent="0.35">
      <c r="A261" t="s">
        <v>368</v>
      </c>
      <c r="B261" s="5">
        <v>46146</v>
      </c>
      <c r="C261" t="s">
        <v>364</v>
      </c>
      <c r="D261" t="s">
        <v>25</v>
      </c>
      <c r="E261" t="s">
        <v>89</v>
      </c>
      <c r="F261" t="s">
        <v>30</v>
      </c>
      <c r="G261" t="s">
        <v>90</v>
      </c>
      <c r="H261" t="s">
        <v>37</v>
      </c>
      <c r="I261" t="s">
        <v>46</v>
      </c>
      <c r="J261">
        <v>1432</v>
      </c>
      <c r="K261">
        <v>1273</v>
      </c>
      <c r="L261">
        <v>43</v>
      </c>
      <c r="M261">
        <v>24</v>
      </c>
      <c r="N261">
        <v>1268</v>
      </c>
      <c r="O261">
        <v>39.4</v>
      </c>
      <c r="P261">
        <v>10.199999999999999</v>
      </c>
      <c r="Q261" t="s">
        <v>80</v>
      </c>
      <c r="R261" t="s">
        <v>81</v>
      </c>
      <c r="S261" t="s">
        <v>138</v>
      </c>
      <c r="T261">
        <v>9</v>
      </c>
      <c r="U261">
        <v>0</v>
      </c>
      <c r="V261" s="6">
        <v>196.4</v>
      </c>
      <c r="W261" s="6">
        <v>4548.29</v>
      </c>
      <c r="X261" t="s">
        <v>94</v>
      </c>
      <c r="Y261" s="7">
        <f t="shared" si="28"/>
        <v>3.3778476040848389E-2</v>
      </c>
      <c r="Z261" s="7">
        <f t="shared" si="29"/>
        <v>0.99607227022780831</v>
      </c>
      <c r="AA261">
        <f t="shared" si="30"/>
        <v>159</v>
      </c>
      <c r="AB261" s="8">
        <f t="shared" si="31"/>
        <v>8445.2000000000007</v>
      </c>
      <c r="AC261">
        <f t="shared" si="32"/>
        <v>59.2</v>
      </c>
      <c r="AD261" t="str">
        <f t="shared" si="33"/>
        <v>Medium</v>
      </c>
      <c r="AE261" t="str">
        <f t="shared" si="34"/>
        <v>Yes</v>
      </c>
    </row>
    <row r="262" spans="1:31" x14ac:dyDescent="0.35">
      <c r="A262" t="s">
        <v>369</v>
      </c>
      <c r="B262" s="5">
        <v>46146</v>
      </c>
      <c r="C262" t="s">
        <v>364</v>
      </c>
      <c r="D262" t="s">
        <v>24</v>
      </c>
      <c r="E262" t="s">
        <v>78</v>
      </c>
      <c r="F262" t="s">
        <v>29</v>
      </c>
      <c r="G262" t="s">
        <v>79</v>
      </c>
      <c r="H262" t="s">
        <v>40</v>
      </c>
      <c r="I262" t="s">
        <v>44</v>
      </c>
      <c r="J262">
        <v>916</v>
      </c>
      <c r="K262">
        <v>867</v>
      </c>
      <c r="L262">
        <v>20</v>
      </c>
      <c r="M262">
        <v>9</v>
      </c>
      <c r="N262">
        <v>794</v>
      </c>
      <c r="O262">
        <v>41.4</v>
      </c>
      <c r="P262">
        <v>16.600000000000001</v>
      </c>
      <c r="Q262" t="s">
        <v>80</v>
      </c>
      <c r="R262" t="s">
        <v>81</v>
      </c>
      <c r="S262" t="s">
        <v>82</v>
      </c>
      <c r="T262">
        <v>1</v>
      </c>
      <c r="U262">
        <v>0</v>
      </c>
      <c r="V262" s="6">
        <v>244.87</v>
      </c>
      <c r="W262" s="6">
        <v>2822.59</v>
      </c>
      <c r="X262" t="s">
        <v>94</v>
      </c>
      <c r="Y262" s="7">
        <f t="shared" si="28"/>
        <v>2.306805074971165E-2</v>
      </c>
      <c r="Z262" s="7">
        <f t="shared" si="29"/>
        <v>0.91580161476355249</v>
      </c>
      <c r="AA262">
        <f t="shared" si="30"/>
        <v>49</v>
      </c>
      <c r="AB262" s="8">
        <f t="shared" si="31"/>
        <v>4897.3999999999996</v>
      </c>
      <c r="AC262">
        <f t="shared" si="32"/>
        <v>48.4</v>
      </c>
      <c r="AD262" t="str">
        <f t="shared" si="33"/>
        <v>Medium</v>
      </c>
      <c r="AE262" t="str">
        <f t="shared" si="34"/>
        <v>No</v>
      </c>
    </row>
    <row r="263" spans="1:31" x14ac:dyDescent="0.35">
      <c r="A263" t="s">
        <v>370</v>
      </c>
      <c r="B263" s="5">
        <v>46146</v>
      </c>
      <c r="C263" t="s">
        <v>364</v>
      </c>
      <c r="D263" t="s">
        <v>24</v>
      </c>
      <c r="E263" t="s">
        <v>78</v>
      </c>
      <c r="F263" t="s">
        <v>32</v>
      </c>
      <c r="G263" t="s">
        <v>90</v>
      </c>
      <c r="H263" t="s">
        <v>38</v>
      </c>
      <c r="I263" t="s">
        <v>47</v>
      </c>
      <c r="J263">
        <v>1018</v>
      </c>
      <c r="K263">
        <v>1042</v>
      </c>
      <c r="L263">
        <v>23</v>
      </c>
      <c r="M263">
        <v>12</v>
      </c>
      <c r="N263">
        <v>954</v>
      </c>
      <c r="O263">
        <v>18.7</v>
      </c>
      <c r="P263">
        <v>15.8</v>
      </c>
      <c r="Q263" t="s">
        <v>80</v>
      </c>
      <c r="R263" t="s">
        <v>81</v>
      </c>
      <c r="S263" t="s">
        <v>82</v>
      </c>
      <c r="T263">
        <v>4</v>
      </c>
      <c r="U263">
        <v>2</v>
      </c>
      <c r="V263" s="6">
        <v>55.08</v>
      </c>
      <c r="W263" s="6">
        <v>755.16</v>
      </c>
      <c r="X263" t="s">
        <v>94</v>
      </c>
      <c r="Y263" s="7">
        <f t="shared" si="28"/>
        <v>2.2072936660268713E-2</v>
      </c>
      <c r="Z263" s="7">
        <f t="shared" si="29"/>
        <v>0.91554702495201534</v>
      </c>
      <c r="AA263">
        <f t="shared" si="30"/>
        <v>-24</v>
      </c>
      <c r="AB263" s="8">
        <f t="shared" si="31"/>
        <v>1266.8399999999999</v>
      </c>
      <c r="AC263">
        <f t="shared" si="32"/>
        <v>46.4</v>
      </c>
      <c r="AD263" t="str">
        <f t="shared" si="33"/>
        <v>Medium</v>
      </c>
      <c r="AE263" t="str">
        <f t="shared" si="34"/>
        <v>No</v>
      </c>
    </row>
    <row r="264" spans="1:31" x14ac:dyDescent="0.35">
      <c r="A264" t="s">
        <v>371</v>
      </c>
      <c r="B264" s="5">
        <v>46146</v>
      </c>
      <c r="C264" t="s">
        <v>364</v>
      </c>
      <c r="D264" t="s">
        <v>22</v>
      </c>
      <c r="E264" t="s">
        <v>93</v>
      </c>
      <c r="F264" t="s">
        <v>27</v>
      </c>
      <c r="G264" t="s">
        <v>90</v>
      </c>
      <c r="H264" t="s">
        <v>40</v>
      </c>
      <c r="I264" t="s">
        <v>48</v>
      </c>
      <c r="J264">
        <v>1542</v>
      </c>
      <c r="K264">
        <v>1489</v>
      </c>
      <c r="L264">
        <v>33</v>
      </c>
      <c r="M264">
        <v>13</v>
      </c>
      <c r="N264">
        <v>1447</v>
      </c>
      <c r="O264">
        <v>74.3</v>
      </c>
      <c r="P264">
        <v>6.1</v>
      </c>
      <c r="Q264" t="s">
        <v>86</v>
      </c>
      <c r="R264" t="s">
        <v>81</v>
      </c>
      <c r="S264" t="s">
        <v>82</v>
      </c>
      <c r="T264">
        <v>7</v>
      </c>
      <c r="U264">
        <v>2</v>
      </c>
      <c r="V264" s="6">
        <v>30.22</v>
      </c>
      <c r="W264" s="6">
        <v>430.64</v>
      </c>
      <c r="X264" t="s">
        <v>115</v>
      </c>
      <c r="Y264" s="7">
        <f t="shared" si="28"/>
        <v>2.2162525184687708E-2</v>
      </c>
      <c r="Z264" s="7">
        <f t="shared" si="29"/>
        <v>0.97179314976494291</v>
      </c>
      <c r="AA264">
        <f t="shared" si="30"/>
        <v>53</v>
      </c>
      <c r="AB264" s="8">
        <f t="shared" si="31"/>
        <v>997.26</v>
      </c>
      <c r="AC264">
        <f t="shared" si="32"/>
        <v>49.4</v>
      </c>
      <c r="AD264" t="str">
        <f t="shared" si="33"/>
        <v>Medium</v>
      </c>
      <c r="AE264" t="str">
        <f t="shared" si="34"/>
        <v>Yes</v>
      </c>
    </row>
    <row r="265" spans="1:31" x14ac:dyDescent="0.35">
      <c r="A265" t="s">
        <v>372</v>
      </c>
      <c r="B265" s="5">
        <v>46146</v>
      </c>
      <c r="C265" t="s">
        <v>364</v>
      </c>
      <c r="D265" t="s">
        <v>24</v>
      </c>
      <c r="E265" t="s">
        <v>78</v>
      </c>
      <c r="F265" t="s">
        <v>30</v>
      </c>
      <c r="G265" t="s">
        <v>79</v>
      </c>
      <c r="H265" t="s">
        <v>36</v>
      </c>
      <c r="I265" t="s">
        <v>46</v>
      </c>
      <c r="J265">
        <v>1077</v>
      </c>
      <c r="K265">
        <v>979</v>
      </c>
      <c r="L265">
        <v>29</v>
      </c>
      <c r="M265">
        <v>23</v>
      </c>
      <c r="N265">
        <v>924</v>
      </c>
      <c r="O265">
        <v>27.2</v>
      </c>
      <c r="P265">
        <v>10.199999999999999</v>
      </c>
      <c r="Q265" t="s">
        <v>96</v>
      </c>
      <c r="R265" t="s">
        <v>81</v>
      </c>
      <c r="S265" t="s">
        <v>100</v>
      </c>
      <c r="T265">
        <v>9</v>
      </c>
      <c r="U265">
        <v>5</v>
      </c>
      <c r="V265" s="6">
        <v>387.47</v>
      </c>
      <c r="W265" s="6">
        <v>4912.25</v>
      </c>
      <c r="X265" t="s">
        <v>115</v>
      </c>
      <c r="Y265" s="7">
        <f t="shared" si="28"/>
        <v>2.9622063329928498E-2</v>
      </c>
      <c r="Z265" s="7">
        <f t="shared" si="29"/>
        <v>0.9438202247191011</v>
      </c>
      <c r="AA265">
        <f t="shared" si="30"/>
        <v>98</v>
      </c>
      <c r="AB265" s="8">
        <f t="shared" si="31"/>
        <v>11236.630000000001</v>
      </c>
      <c r="AC265">
        <f t="shared" si="32"/>
        <v>55.4</v>
      </c>
      <c r="AD265" t="str">
        <f t="shared" si="33"/>
        <v>Medium</v>
      </c>
      <c r="AE265" t="str">
        <f t="shared" si="34"/>
        <v>No</v>
      </c>
    </row>
    <row r="266" spans="1:31" x14ac:dyDescent="0.35">
      <c r="A266" t="s">
        <v>373</v>
      </c>
      <c r="B266" s="5">
        <v>46146</v>
      </c>
      <c r="C266" t="s">
        <v>364</v>
      </c>
      <c r="D266" t="s">
        <v>25</v>
      </c>
      <c r="E266" t="s">
        <v>89</v>
      </c>
      <c r="F266" t="s">
        <v>29</v>
      </c>
      <c r="G266" t="s">
        <v>85</v>
      </c>
      <c r="H266" t="s">
        <v>39</v>
      </c>
      <c r="I266" t="s">
        <v>47</v>
      </c>
      <c r="J266">
        <v>1367</v>
      </c>
      <c r="K266">
        <v>1179</v>
      </c>
      <c r="L266">
        <v>35</v>
      </c>
      <c r="M266">
        <v>23</v>
      </c>
      <c r="N266">
        <v>1144</v>
      </c>
      <c r="O266">
        <v>34.9</v>
      </c>
      <c r="P266">
        <v>10</v>
      </c>
      <c r="Q266" t="s">
        <v>80</v>
      </c>
      <c r="R266" t="s">
        <v>81</v>
      </c>
      <c r="S266" t="s">
        <v>82</v>
      </c>
      <c r="T266">
        <v>3</v>
      </c>
      <c r="U266">
        <v>4</v>
      </c>
      <c r="V266" s="6">
        <v>222.57</v>
      </c>
      <c r="W266" s="6">
        <v>3439.25</v>
      </c>
      <c r="X266" t="s">
        <v>94</v>
      </c>
      <c r="Y266" s="7">
        <f t="shared" si="28"/>
        <v>2.9686174724342665E-2</v>
      </c>
      <c r="Z266" s="7">
        <f t="shared" si="29"/>
        <v>0.97031382527565735</v>
      </c>
      <c r="AA266">
        <f t="shared" si="30"/>
        <v>188</v>
      </c>
      <c r="AB266" s="8">
        <f t="shared" si="31"/>
        <v>7789.95</v>
      </c>
      <c r="AC266">
        <f t="shared" si="32"/>
        <v>44</v>
      </c>
      <c r="AD266" t="str">
        <f t="shared" si="33"/>
        <v>Medium</v>
      </c>
      <c r="AE266" t="str">
        <f t="shared" si="34"/>
        <v>No</v>
      </c>
    </row>
    <row r="267" spans="1:31" x14ac:dyDescent="0.35">
      <c r="A267" t="s">
        <v>374</v>
      </c>
      <c r="B267" s="5">
        <v>46146</v>
      </c>
      <c r="C267" t="s">
        <v>364</v>
      </c>
      <c r="D267" t="s">
        <v>20</v>
      </c>
      <c r="E267" t="s">
        <v>78</v>
      </c>
      <c r="F267" t="s">
        <v>32</v>
      </c>
      <c r="G267" t="s">
        <v>85</v>
      </c>
      <c r="H267" t="s">
        <v>34</v>
      </c>
      <c r="I267" t="s">
        <v>46</v>
      </c>
      <c r="J267">
        <v>918</v>
      </c>
      <c r="K267">
        <v>934</v>
      </c>
      <c r="L267">
        <v>10</v>
      </c>
      <c r="M267">
        <v>4</v>
      </c>
      <c r="N267">
        <v>882</v>
      </c>
      <c r="O267">
        <v>27.4</v>
      </c>
      <c r="P267">
        <v>13</v>
      </c>
      <c r="Q267" t="s">
        <v>80</v>
      </c>
      <c r="R267" t="s">
        <v>81</v>
      </c>
      <c r="S267" t="s">
        <v>82</v>
      </c>
      <c r="T267">
        <v>4</v>
      </c>
      <c r="U267">
        <v>0</v>
      </c>
      <c r="V267" s="6">
        <v>169.3</v>
      </c>
      <c r="W267" s="6">
        <v>428.09</v>
      </c>
      <c r="X267" t="s">
        <v>94</v>
      </c>
      <c r="Y267" s="7">
        <f t="shared" si="28"/>
        <v>1.0706638115631691E-2</v>
      </c>
      <c r="Z267" s="7">
        <f t="shared" si="29"/>
        <v>0.94432548179871523</v>
      </c>
      <c r="AA267">
        <f t="shared" si="30"/>
        <v>-16</v>
      </c>
      <c r="AB267" s="8">
        <f t="shared" si="31"/>
        <v>1693</v>
      </c>
      <c r="AC267">
        <f t="shared" si="32"/>
        <v>30.1</v>
      </c>
      <c r="AD267" t="str">
        <f t="shared" si="33"/>
        <v>Low</v>
      </c>
      <c r="AE267" t="str">
        <f t="shared" si="34"/>
        <v>No</v>
      </c>
    </row>
    <row r="268" spans="1:31" x14ac:dyDescent="0.35">
      <c r="A268" t="s">
        <v>375</v>
      </c>
      <c r="B268" s="5">
        <v>46146</v>
      </c>
      <c r="C268" t="s">
        <v>364</v>
      </c>
      <c r="D268" t="s">
        <v>20</v>
      </c>
      <c r="E268" t="s">
        <v>78</v>
      </c>
      <c r="F268" t="s">
        <v>31</v>
      </c>
      <c r="G268" t="s">
        <v>85</v>
      </c>
      <c r="H268" t="s">
        <v>39</v>
      </c>
      <c r="I268" t="s">
        <v>46</v>
      </c>
      <c r="J268">
        <v>1282</v>
      </c>
      <c r="K268">
        <v>1298</v>
      </c>
      <c r="L268">
        <v>20</v>
      </c>
      <c r="M268">
        <v>7</v>
      </c>
      <c r="N268">
        <v>1243</v>
      </c>
      <c r="O268">
        <v>37.9</v>
      </c>
      <c r="P268">
        <v>8.3000000000000007</v>
      </c>
      <c r="Q268" t="s">
        <v>80</v>
      </c>
      <c r="R268" t="s">
        <v>81</v>
      </c>
      <c r="S268" t="s">
        <v>82</v>
      </c>
      <c r="T268">
        <v>4</v>
      </c>
      <c r="U268">
        <v>0</v>
      </c>
      <c r="V268" s="6">
        <v>36.380000000000003</v>
      </c>
      <c r="W268" s="6">
        <v>512.57000000000005</v>
      </c>
      <c r="X268" t="s">
        <v>94</v>
      </c>
      <c r="Y268" s="7">
        <f t="shared" si="28"/>
        <v>1.5408320493066256E-2</v>
      </c>
      <c r="Z268" s="7">
        <f t="shared" si="29"/>
        <v>0.9576271186440678</v>
      </c>
      <c r="AA268">
        <f t="shared" si="30"/>
        <v>-16</v>
      </c>
      <c r="AB268" s="8">
        <f t="shared" si="31"/>
        <v>727.6</v>
      </c>
      <c r="AC268">
        <f t="shared" si="32"/>
        <v>28.1</v>
      </c>
      <c r="AD268" t="str">
        <f t="shared" si="33"/>
        <v>Low</v>
      </c>
      <c r="AE268" t="str">
        <f t="shared" si="34"/>
        <v>No</v>
      </c>
    </row>
    <row r="269" spans="1:31" x14ac:dyDescent="0.35">
      <c r="A269" t="s">
        <v>376</v>
      </c>
      <c r="B269" s="5">
        <v>46146</v>
      </c>
      <c r="C269" t="s">
        <v>364</v>
      </c>
      <c r="D269" t="s">
        <v>25</v>
      </c>
      <c r="E269" t="s">
        <v>89</v>
      </c>
      <c r="F269" t="s">
        <v>30</v>
      </c>
      <c r="G269" t="s">
        <v>90</v>
      </c>
      <c r="H269" t="s">
        <v>38</v>
      </c>
      <c r="I269" t="s">
        <v>48</v>
      </c>
      <c r="J269">
        <v>1481</v>
      </c>
      <c r="K269">
        <v>1288</v>
      </c>
      <c r="L269">
        <v>46</v>
      </c>
      <c r="M269">
        <v>36</v>
      </c>
      <c r="N269">
        <v>1151</v>
      </c>
      <c r="O269">
        <v>49</v>
      </c>
      <c r="P269">
        <v>0</v>
      </c>
      <c r="Q269" t="s">
        <v>80</v>
      </c>
      <c r="R269" t="s">
        <v>81</v>
      </c>
      <c r="S269" t="s">
        <v>82</v>
      </c>
      <c r="T269">
        <v>6</v>
      </c>
      <c r="U269">
        <v>4</v>
      </c>
      <c r="V269" s="6">
        <v>405.63</v>
      </c>
      <c r="W269" s="6">
        <v>10797.44</v>
      </c>
      <c r="X269" t="s">
        <v>115</v>
      </c>
      <c r="Y269" s="7">
        <f t="shared" si="28"/>
        <v>3.5714285714285712E-2</v>
      </c>
      <c r="Z269" s="7">
        <f t="shared" si="29"/>
        <v>0.89363354037267084</v>
      </c>
      <c r="AA269">
        <f t="shared" si="30"/>
        <v>193</v>
      </c>
      <c r="AB269" s="8">
        <f t="shared" si="31"/>
        <v>18658.98</v>
      </c>
      <c r="AC269">
        <f t="shared" si="32"/>
        <v>40.5</v>
      </c>
      <c r="AD269" t="str">
        <f t="shared" si="33"/>
        <v>Medium</v>
      </c>
      <c r="AE269" t="str">
        <f t="shared" si="34"/>
        <v>No</v>
      </c>
    </row>
    <row r="270" spans="1:31" x14ac:dyDescent="0.35">
      <c r="A270" t="s">
        <v>377</v>
      </c>
      <c r="B270" s="5">
        <v>46146</v>
      </c>
      <c r="C270" t="s">
        <v>364</v>
      </c>
      <c r="D270" t="s">
        <v>20</v>
      </c>
      <c r="E270" t="s">
        <v>78</v>
      </c>
      <c r="F270" t="s">
        <v>32</v>
      </c>
      <c r="G270" t="s">
        <v>85</v>
      </c>
      <c r="H270" t="s">
        <v>36</v>
      </c>
      <c r="I270" t="s">
        <v>46</v>
      </c>
      <c r="J270">
        <v>1313</v>
      </c>
      <c r="K270">
        <v>1172</v>
      </c>
      <c r="L270">
        <v>27</v>
      </c>
      <c r="M270">
        <v>17</v>
      </c>
      <c r="N270">
        <v>1087</v>
      </c>
      <c r="O270">
        <v>56.6</v>
      </c>
      <c r="P270">
        <v>4.0999999999999996</v>
      </c>
      <c r="Q270" t="s">
        <v>96</v>
      </c>
      <c r="R270" t="s">
        <v>81</v>
      </c>
      <c r="S270" t="s">
        <v>82</v>
      </c>
      <c r="T270">
        <v>4</v>
      </c>
      <c r="U270">
        <v>4</v>
      </c>
      <c r="V270" s="6">
        <v>232.02</v>
      </c>
      <c r="W270" s="6">
        <v>4223.24</v>
      </c>
      <c r="X270" t="s">
        <v>110</v>
      </c>
      <c r="Y270" s="7">
        <f t="shared" si="28"/>
        <v>2.303754266211604E-2</v>
      </c>
      <c r="Z270" s="7">
        <f t="shared" si="29"/>
        <v>0.9274744027303754</v>
      </c>
      <c r="AA270">
        <f t="shared" si="30"/>
        <v>141</v>
      </c>
      <c r="AB270" s="8">
        <f t="shared" si="31"/>
        <v>6264.54</v>
      </c>
      <c r="AC270">
        <f t="shared" si="32"/>
        <v>41.6</v>
      </c>
      <c r="AD270" t="str">
        <f t="shared" si="33"/>
        <v>Medium</v>
      </c>
      <c r="AE270" t="str">
        <f t="shared" si="34"/>
        <v>No</v>
      </c>
    </row>
    <row r="271" spans="1:31" x14ac:dyDescent="0.35">
      <c r="A271" t="s">
        <v>378</v>
      </c>
      <c r="B271" s="5">
        <v>46146</v>
      </c>
      <c r="C271" t="s">
        <v>364</v>
      </c>
      <c r="D271" t="s">
        <v>23</v>
      </c>
      <c r="E271" t="s">
        <v>78</v>
      </c>
      <c r="F271" t="s">
        <v>27</v>
      </c>
      <c r="G271" t="s">
        <v>90</v>
      </c>
      <c r="H271" t="s">
        <v>39</v>
      </c>
      <c r="I271" t="s">
        <v>45</v>
      </c>
      <c r="J271">
        <v>1322</v>
      </c>
      <c r="K271">
        <v>1135</v>
      </c>
      <c r="L271">
        <v>43</v>
      </c>
      <c r="M271">
        <v>26</v>
      </c>
      <c r="N271">
        <v>1004</v>
      </c>
      <c r="O271">
        <v>60.4</v>
      </c>
      <c r="P271">
        <v>12.4</v>
      </c>
      <c r="Q271" t="s">
        <v>80</v>
      </c>
      <c r="R271" t="s">
        <v>81</v>
      </c>
      <c r="S271" t="s">
        <v>82</v>
      </c>
      <c r="T271">
        <v>4</v>
      </c>
      <c r="U271">
        <v>4</v>
      </c>
      <c r="V271" s="6">
        <v>91.71</v>
      </c>
      <c r="W271" s="6">
        <v>1424.37</v>
      </c>
      <c r="X271" t="s">
        <v>87</v>
      </c>
      <c r="Y271" s="7">
        <f t="shared" si="28"/>
        <v>3.7885462555066078E-2</v>
      </c>
      <c r="Z271" s="7">
        <f t="shared" si="29"/>
        <v>0.88458149779735684</v>
      </c>
      <c r="AA271">
        <f t="shared" si="30"/>
        <v>187</v>
      </c>
      <c r="AB271" s="8">
        <f t="shared" si="31"/>
        <v>3943.5299999999997</v>
      </c>
      <c r="AC271">
        <f t="shared" si="32"/>
        <v>59.2</v>
      </c>
      <c r="AD271" t="str">
        <f t="shared" si="33"/>
        <v>Medium</v>
      </c>
      <c r="AE271" t="str">
        <f t="shared" si="34"/>
        <v>No</v>
      </c>
    </row>
    <row r="272" spans="1:31" x14ac:dyDescent="0.35">
      <c r="A272" t="s">
        <v>379</v>
      </c>
      <c r="B272" s="5">
        <v>46153</v>
      </c>
      <c r="C272" t="s">
        <v>364</v>
      </c>
      <c r="D272" t="s">
        <v>22</v>
      </c>
      <c r="E272" t="s">
        <v>93</v>
      </c>
      <c r="F272" t="s">
        <v>27</v>
      </c>
      <c r="G272" t="s">
        <v>85</v>
      </c>
      <c r="H272" t="s">
        <v>39</v>
      </c>
      <c r="I272" t="s">
        <v>47</v>
      </c>
      <c r="J272">
        <v>905</v>
      </c>
      <c r="K272">
        <v>893</v>
      </c>
      <c r="L272">
        <v>24</v>
      </c>
      <c r="M272">
        <v>19</v>
      </c>
      <c r="N272">
        <v>866</v>
      </c>
      <c r="O272">
        <v>20.7</v>
      </c>
      <c r="P272">
        <v>8.5</v>
      </c>
      <c r="Q272" t="s">
        <v>80</v>
      </c>
      <c r="R272" t="s">
        <v>81</v>
      </c>
      <c r="S272" t="s">
        <v>82</v>
      </c>
      <c r="T272">
        <v>5</v>
      </c>
      <c r="U272">
        <v>4</v>
      </c>
      <c r="V272" s="6">
        <v>173.74</v>
      </c>
      <c r="W272" s="6">
        <v>2890.96</v>
      </c>
      <c r="X272" t="s">
        <v>94</v>
      </c>
      <c r="Y272" s="7">
        <f t="shared" si="28"/>
        <v>2.6875699888017916E-2</v>
      </c>
      <c r="Z272" s="7">
        <f t="shared" si="29"/>
        <v>0.96976483762597987</v>
      </c>
      <c r="AA272">
        <f t="shared" si="30"/>
        <v>12</v>
      </c>
      <c r="AB272" s="8">
        <f t="shared" si="31"/>
        <v>4169.76</v>
      </c>
      <c r="AC272">
        <f t="shared" si="32"/>
        <v>39.299999999999997</v>
      </c>
      <c r="AD272" t="str">
        <f t="shared" si="33"/>
        <v>Low</v>
      </c>
      <c r="AE272" t="str">
        <f t="shared" si="34"/>
        <v>No</v>
      </c>
    </row>
    <row r="273" spans="1:31" x14ac:dyDescent="0.35">
      <c r="A273" t="s">
        <v>380</v>
      </c>
      <c r="B273" s="5">
        <v>46153</v>
      </c>
      <c r="C273" t="s">
        <v>364</v>
      </c>
      <c r="D273" t="s">
        <v>22</v>
      </c>
      <c r="E273" t="s">
        <v>93</v>
      </c>
      <c r="F273" t="s">
        <v>31</v>
      </c>
      <c r="G273" t="s">
        <v>79</v>
      </c>
      <c r="H273" t="s">
        <v>34</v>
      </c>
      <c r="I273" t="s">
        <v>42</v>
      </c>
      <c r="J273">
        <v>809</v>
      </c>
      <c r="K273">
        <v>761</v>
      </c>
      <c r="L273">
        <v>16</v>
      </c>
      <c r="M273">
        <v>5</v>
      </c>
      <c r="N273">
        <v>750</v>
      </c>
      <c r="O273">
        <v>27.2</v>
      </c>
      <c r="P273">
        <v>10</v>
      </c>
      <c r="Q273" t="s">
        <v>80</v>
      </c>
      <c r="R273" t="s">
        <v>81</v>
      </c>
      <c r="S273" t="s">
        <v>82</v>
      </c>
      <c r="T273">
        <v>9</v>
      </c>
      <c r="U273">
        <v>1</v>
      </c>
      <c r="V273" s="6">
        <v>60.28</v>
      </c>
      <c r="W273" s="6">
        <v>394.41</v>
      </c>
      <c r="X273" t="s">
        <v>91</v>
      </c>
      <c r="Y273" s="7">
        <f t="shared" si="28"/>
        <v>2.1024967148488831E-2</v>
      </c>
      <c r="Z273" s="7">
        <f t="shared" si="29"/>
        <v>0.98554533508541398</v>
      </c>
      <c r="AA273">
        <f t="shared" si="30"/>
        <v>48</v>
      </c>
      <c r="AB273" s="8">
        <f t="shared" si="31"/>
        <v>964.48</v>
      </c>
      <c r="AC273">
        <f t="shared" si="32"/>
        <v>34.700000000000003</v>
      </c>
      <c r="AD273" t="str">
        <f t="shared" si="33"/>
        <v>Low</v>
      </c>
      <c r="AE273" t="str">
        <f t="shared" si="34"/>
        <v>No</v>
      </c>
    </row>
    <row r="274" spans="1:31" x14ac:dyDescent="0.35">
      <c r="A274" t="s">
        <v>381</v>
      </c>
      <c r="B274" s="5">
        <v>46153</v>
      </c>
      <c r="C274" t="s">
        <v>364</v>
      </c>
      <c r="D274" t="s">
        <v>23</v>
      </c>
      <c r="E274" t="s">
        <v>78</v>
      </c>
      <c r="F274" t="s">
        <v>30</v>
      </c>
      <c r="G274" t="s">
        <v>79</v>
      </c>
      <c r="H274" t="s">
        <v>40</v>
      </c>
      <c r="I274" t="s">
        <v>42</v>
      </c>
      <c r="J274">
        <v>1059</v>
      </c>
      <c r="K274">
        <v>977</v>
      </c>
      <c r="L274">
        <v>25</v>
      </c>
      <c r="M274">
        <v>13</v>
      </c>
      <c r="N274">
        <v>860</v>
      </c>
      <c r="O274">
        <v>65.099999999999994</v>
      </c>
      <c r="P274">
        <v>10.4</v>
      </c>
      <c r="Q274" t="s">
        <v>80</v>
      </c>
      <c r="R274" t="s">
        <v>81</v>
      </c>
      <c r="S274" t="s">
        <v>82</v>
      </c>
      <c r="T274">
        <v>1</v>
      </c>
      <c r="U274">
        <v>3</v>
      </c>
      <c r="V274" s="6">
        <v>67.64</v>
      </c>
      <c r="W274" s="6">
        <v>1247.3599999999999</v>
      </c>
      <c r="X274" t="s">
        <v>110</v>
      </c>
      <c r="Y274" s="7">
        <f t="shared" si="28"/>
        <v>2.5588536335721598E-2</v>
      </c>
      <c r="Z274" s="7">
        <f t="shared" si="29"/>
        <v>0.88024564994882293</v>
      </c>
      <c r="AA274">
        <f t="shared" si="30"/>
        <v>82</v>
      </c>
      <c r="AB274" s="8">
        <f t="shared" si="31"/>
        <v>1691</v>
      </c>
      <c r="AC274">
        <f t="shared" si="32"/>
        <v>44.5</v>
      </c>
      <c r="AD274" t="str">
        <f t="shared" si="33"/>
        <v>Medium</v>
      </c>
      <c r="AE274" t="str">
        <f t="shared" si="34"/>
        <v>No</v>
      </c>
    </row>
    <row r="275" spans="1:31" x14ac:dyDescent="0.35">
      <c r="A275" t="s">
        <v>382</v>
      </c>
      <c r="B275" s="5">
        <v>46153</v>
      </c>
      <c r="C275" t="s">
        <v>364</v>
      </c>
      <c r="D275" t="s">
        <v>22</v>
      </c>
      <c r="E275" t="s">
        <v>93</v>
      </c>
      <c r="F275" t="s">
        <v>32</v>
      </c>
      <c r="G275" t="s">
        <v>85</v>
      </c>
      <c r="H275" t="s">
        <v>39</v>
      </c>
      <c r="I275" t="s">
        <v>47</v>
      </c>
      <c r="J275">
        <v>1406</v>
      </c>
      <c r="K275">
        <v>1288</v>
      </c>
      <c r="L275">
        <v>26</v>
      </c>
      <c r="M275">
        <v>11</v>
      </c>
      <c r="N275">
        <v>1249</v>
      </c>
      <c r="O275">
        <v>62.3</v>
      </c>
      <c r="P275">
        <v>7.7</v>
      </c>
      <c r="Q275" t="s">
        <v>80</v>
      </c>
      <c r="R275" t="s">
        <v>81</v>
      </c>
      <c r="S275" t="s">
        <v>82</v>
      </c>
      <c r="T275">
        <v>2</v>
      </c>
      <c r="U275">
        <v>3</v>
      </c>
      <c r="V275" s="6">
        <v>117.99</v>
      </c>
      <c r="W275" s="6">
        <v>835.24</v>
      </c>
      <c r="X275" t="s">
        <v>115</v>
      </c>
      <c r="Y275" s="7">
        <f t="shared" si="28"/>
        <v>2.0186335403726708E-2</v>
      </c>
      <c r="Z275" s="7">
        <f t="shared" si="29"/>
        <v>0.96972049689440998</v>
      </c>
      <c r="AA275">
        <f t="shared" si="30"/>
        <v>118</v>
      </c>
      <c r="AB275" s="8">
        <f t="shared" si="31"/>
        <v>3067.74</v>
      </c>
      <c r="AC275">
        <f t="shared" si="32"/>
        <v>31.6</v>
      </c>
      <c r="AD275" t="str">
        <f t="shared" si="33"/>
        <v>Low</v>
      </c>
      <c r="AE275" t="str">
        <f t="shared" si="34"/>
        <v>No</v>
      </c>
    </row>
    <row r="276" spans="1:31" x14ac:dyDescent="0.35">
      <c r="A276" t="s">
        <v>383</v>
      </c>
      <c r="B276" s="5">
        <v>46153</v>
      </c>
      <c r="C276" t="s">
        <v>364</v>
      </c>
      <c r="D276" t="s">
        <v>24</v>
      </c>
      <c r="E276" t="s">
        <v>78</v>
      </c>
      <c r="F276" t="s">
        <v>30</v>
      </c>
      <c r="G276" t="s">
        <v>85</v>
      </c>
      <c r="H276" t="s">
        <v>36</v>
      </c>
      <c r="I276" t="s">
        <v>45</v>
      </c>
      <c r="J276">
        <v>987</v>
      </c>
      <c r="K276">
        <v>913</v>
      </c>
      <c r="L276">
        <v>23</v>
      </c>
      <c r="M276">
        <v>13</v>
      </c>
      <c r="N276">
        <v>885</v>
      </c>
      <c r="O276">
        <v>58.7</v>
      </c>
      <c r="P276">
        <v>9</v>
      </c>
      <c r="Q276" t="s">
        <v>80</v>
      </c>
      <c r="R276" t="s">
        <v>81</v>
      </c>
      <c r="S276" t="s">
        <v>100</v>
      </c>
      <c r="T276">
        <v>5</v>
      </c>
      <c r="U276">
        <v>7</v>
      </c>
      <c r="V276" s="6">
        <v>69.61</v>
      </c>
      <c r="W276" s="6">
        <v>974.77</v>
      </c>
      <c r="X276" t="s">
        <v>94</v>
      </c>
      <c r="Y276" s="7">
        <f t="shared" si="28"/>
        <v>2.5191675794085433E-2</v>
      </c>
      <c r="Z276" s="7">
        <f t="shared" si="29"/>
        <v>0.96933187294633083</v>
      </c>
      <c r="AA276">
        <f t="shared" si="30"/>
        <v>74</v>
      </c>
      <c r="AB276" s="8">
        <f t="shared" si="31"/>
        <v>1601.03</v>
      </c>
      <c r="AC276">
        <f t="shared" si="32"/>
        <v>38.299999999999997</v>
      </c>
      <c r="AD276" t="str">
        <f t="shared" si="33"/>
        <v>Low</v>
      </c>
      <c r="AE276" t="str">
        <f t="shared" si="34"/>
        <v>No</v>
      </c>
    </row>
    <row r="277" spans="1:31" x14ac:dyDescent="0.35">
      <c r="A277" t="s">
        <v>384</v>
      </c>
      <c r="B277" s="5">
        <v>46153</v>
      </c>
      <c r="C277" t="s">
        <v>364</v>
      </c>
      <c r="D277" t="s">
        <v>23</v>
      </c>
      <c r="E277" t="s">
        <v>78</v>
      </c>
      <c r="F277" t="s">
        <v>32</v>
      </c>
      <c r="G277" t="s">
        <v>85</v>
      </c>
      <c r="H277" t="s">
        <v>40</v>
      </c>
      <c r="I277" t="s">
        <v>45</v>
      </c>
      <c r="J277">
        <v>1520</v>
      </c>
      <c r="K277">
        <v>1380</v>
      </c>
      <c r="L277">
        <v>20</v>
      </c>
      <c r="M277">
        <v>11</v>
      </c>
      <c r="N277">
        <v>1262</v>
      </c>
      <c r="O277">
        <v>23</v>
      </c>
      <c r="P277">
        <v>2.6</v>
      </c>
      <c r="Q277" t="s">
        <v>80</v>
      </c>
      <c r="R277" t="s">
        <v>81</v>
      </c>
      <c r="S277" t="s">
        <v>100</v>
      </c>
      <c r="T277">
        <v>4</v>
      </c>
      <c r="U277">
        <v>0</v>
      </c>
      <c r="V277" s="6">
        <v>205.29</v>
      </c>
      <c r="W277" s="6">
        <v>2548.9699999999998</v>
      </c>
      <c r="X277" t="s">
        <v>91</v>
      </c>
      <c r="Y277" s="7">
        <f t="shared" si="28"/>
        <v>1.4492753623188406E-2</v>
      </c>
      <c r="Z277" s="7">
        <f t="shared" si="29"/>
        <v>0.91449275362318838</v>
      </c>
      <c r="AA277">
        <f t="shared" si="30"/>
        <v>140</v>
      </c>
      <c r="AB277" s="8">
        <f t="shared" si="31"/>
        <v>4105.8</v>
      </c>
      <c r="AC277">
        <f t="shared" si="32"/>
        <v>21.7</v>
      </c>
      <c r="AD277" t="str">
        <f t="shared" si="33"/>
        <v>Low</v>
      </c>
      <c r="AE277" t="str">
        <f t="shared" si="34"/>
        <v>No</v>
      </c>
    </row>
    <row r="278" spans="1:31" x14ac:dyDescent="0.35">
      <c r="A278" t="s">
        <v>385</v>
      </c>
      <c r="B278" s="5">
        <v>46153</v>
      </c>
      <c r="C278" t="s">
        <v>364</v>
      </c>
      <c r="D278" t="s">
        <v>24</v>
      </c>
      <c r="E278" t="s">
        <v>78</v>
      </c>
      <c r="F278" t="s">
        <v>32</v>
      </c>
      <c r="G278" t="s">
        <v>90</v>
      </c>
      <c r="H278" t="s">
        <v>34</v>
      </c>
      <c r="I278" t="s">
        <v>45</v>
      </c>
      <c r="J278">
        <v>1475</v>
      </c>
      <c r="K278">
        <v>1547</v>
      </c>
      <c r="L278">
        <v>20</v>
      </c>
      <c r="M278">
        <v>13</v>
      </c>
      <c r="N278">
        <v>1401</v>
      </c>
      <c r="O278">
        <v>34.799999999999997</v>
      </c>
      <c r="P278">
        <v>10.9</v>
      </c>
      <c r="Q278" t="s">
        <v>80</v>
      </c>
      <c r="R278" t="s">
        <v>81</v>
      </c>
      <c r="S278" t="s">
        <v>82</v>
      </c>
      <c r="T278">
        <v>6</v>
      </c>
      <c r="U278">
        <v>1</v>
      </c>
      <c r="V278" s="6">
        <v>252.9</v>
      </c>
      <c r="W278" s="6">
        <v>3335.19</v>
      </c>
      <c r="X278" t="s">
        <v>94</v>
      </c>
      <c r="Y278" s="7">
        <f t="shared" si="28"/>
        <v>1.2928248222365869E-2</v>
      </c>
      <c r="Z278" s="7">
        <f t="shared" si="29"/>
        <v>0.90562378797672916</v>
      </c>
      <c r="AA278">
        <f t="shared" si="30"/>
        <v>-72</v>
      </c>
      <c r="AB278" s="8">
        <f t="shared" si="31"/>
        <v>5058</v>
      </c>
      <c r="AC278">
        <f t="shared" si="32"/>
        <v>31.3</v>
      </c>
      <c r="AD278" t="str">
        <f t="shared" si="33"/>
        <v>Low</v>
      </c>
      <c r="AE278" t="str">
        <f t="shared" si="34"/>
        <v>No</v>
      </c>
    </row>
    <row r="279" spans="1:31" x14ac:dyDescent="0.35">
      <c r="A279" t="s">
        <v>386</v>
      </c>
      <c r="B279" s="5">
        <v>46153</v>
      </c>
      <c r="C279" t="s">
        <v>364</v>
      </c>
      <c r="D279" t="s">
        <v>20</v>
      </c>
      <c r="E279" t="s">
        <v>78</v>
      </c>
      <c r="F279" t="s">
        <v>27</v>
      </c>
      <c r="G279" t="s">
        <v>85</v>
      </c>
      <c r="H279" t="s">
        <v>34</v>
      </c>
      <c r="I279" t="s">
        <v>47</v>
      </c>
      <c r="J279">
        <v>961</v>
      </c>
      <c r="K279">
        <v>956</v>
      </c>
      <c r="L279">
        <v>17</v>
      </c>
      <c r="M279">
        <v>10</v>
      </c>
      <c r="N279">
        <v>956</v>
      </c>
      <c r="O279">
        <v>41</v>
      </c>
      <c r="P279">
        <v>16</v>
      </c>
      <c r="Q279" t="s">
        <v>96</v>
      </c>
      <c r="R279" t="s">
        <v>81</v>
      </c>
      <c r="S279" t="s">
        <v>82</v>
      </c>
      <c r="T279">
        <v>10</v>
      </c>
      <c r="U279">
        <v>0</v>
      </c>
      <c r="V279" s="6">
        <v>262.67</v>
      </c>
      <c r="W279" s="6">
        <v>2147.42</v>
      </c>
      <c r="X279" t="s">
        <v>91</v>
      </c>
      <c r="Y279" s="7">
        <f t="shared" si="28"/>
        <v>1.7782426778242679E-2</v>
      </c>
      <c r="Z279" s="7">
        <f t="shared" si="29"/>
        <v>1</v>
      </c>
      <c r="AA279">
        <f t="shared" si="30"/>
        <v>5</v>
      </c>
      <c r="AB279" s="8">
        <f t="shared" si="31"/>
        <v>4465.3900000000003</v>
      </c>
      <c r="AC279">
        <f t="shared" si="32"/>
        <v>48.6</v>
      </c>
      <c r="AD279" t="str">
        <f t="shared" si="33"/>
        <v>Medium</v>
      </c>
      <c r="AE279" t="str">
        <f t="shared" si="34"/>
        <v>No</v>
      </c>
    </row>
    <row r="280" spans="1:31" x14ac:dyDescent="0.35">
      <c r="A280" t="s">
        <v>387</v>
      </c>
      <c r="B280" s="5">
        <v>46153</v>
      </c>
      <c r="C280" t="s">
        <v>364</v>
      </c>
      <c r="D280" t="s">
        <v>25</v>
      </c>
      <c r="E280" t="s">
        <v>89</v>
      </c>
      <c r="F280" t="s">
        <v>32</v>
      </c>
      <c r="G280" t="s">
        <v>79</v>
      </c>
      <c r="H280" t="s">
        <v>37</v>
      </c>
      <c r="I280" t="s">
        <v>46</v>
      </c>
      <c r="J280">
        <v>1277</v>
      </c>
      <c r="K280">
        <v>1193</v>
      </c>
      <c r="L280">
        <v>31</v>
      </c>
      <c r="M280">
        <v>17</v>
      </c>
      <c r="N280">
        <v>1180</v>
      </c>
      <c r="O280">
        <v>32.9</v>
      </c>
      <c r="P280">
        <v>5.4</v>
      </c>
      <c r="Q280" t="s">
        <v>86</v>
      </c>
      <c r="R280" t="s">
        <v>81</v>
      </c>
      <c r="S280" t="s">
        <v>82</v>
      </c>
      <c r="T280">
        <v>0</v>
      </c>
      <c r="U280">
        <v>2</v>
      </c>
      <c r="V280" s="6">
        <v>98.15</v>
      </c>
      <c r="W280" s="6">
        <v>2311.4299999999998</v>
      </c>
      <c r="X280" t="s">
        <v>115</v>
      </c>
      <c r="Y280" s="7">
        <f t="shared" si="28"/>
        <v>2.5984911986588432E-2</v>
      </c>
      <c r="Z280" s="7">
        <f t="shared" si="29"/>
        <v>0.98910310142497904</v>
      </c>
      <c r="AA280">
        <f t="shared" si="30"/>
        <v>84</v>
      </c>
      <c r="AB280" s="8">
        <f t="shared" si="31"/>
        <v>3042.65</v>
      </c>
      <c r="AC280">
        <f t="shared" si="32"/>
        <v>51.5</v>
      </c>
      <c r="AD280" t="str">
        <f t="shared" si="33"/>
        <v>Medium</v>
      </c>
      <c r="AE280" t="str">
        <f t="shared" si="34"/>
        <v>Yes</v>
      </c>
    </row>
    <row r="281" spans="1:31" x14ac:dyDescent="0.35">
      <c r="A281" t="s">
        <v>388</v>
      </c>
      <c r="B281" s="5">
        <v>46153</v>
      </c>
      <c r="C281" t="s">
        <v>364</v>
      </c>
      <c r="D281" t="s">
        <v>22</v>
      </c>
      <c r="E281" t="s">
        <v>93</v>
      </c>
      <c r="F281" t="s">
        <v>29</v>
      </c>
      <c r="G281" t="s">
        <v>85</v>
      </c>
      <c r="H281" t="s">
        <v>37</v>
      </c>
      <c r="I281" t="s">
        <v>46</v>
      </c>
      <c r="J281">
        <v>948</v>
      </c>
      <c r="K281">
        <v>934</v>
      </c>
      <c r="L281">
        <v>14</v>
      </c>
      <c r="M281">
        <v>9</v>
      </c>
      <c r="N281">
        <v>880</v>
      </c>
      <c r="O281">
        <v>42.3</v>
      </c>
      <c r="P281">
        <v>3.3</v>
      </c>
      <c r="Q281" t="s">
        <v>80</v>
      </c>
      <c r="R281" t="s">
        <v>81</v>
      </c>
      <c r="S281" t="s">
        <v>100</v>
      </c>
      <c r="T281">
        <v>2</v>
      </c>
      <c r="U281">
        <v>0</v>
      </c>
      <c r="V281" s="6">
        <v>200.02</v>
      </c>
      <c r="W281" s="6">
        <v>885.33</v>
      </c>
      <c r="X281" t="s">
        <v>110</v>
      </c>
      <c r="Y281" s="7">
        <f t="shared" si="28"/>
        <v>1.4989293361884369E-2</v>
      </c>
      <c r="Z281" s="7">
        <f t="shared" si="29"/>
        <v>0.94218415417558887</v>
      </c>
      <c r="AA281">
        <f t="shared" si="30"/>
        <v>14</v>
      </c>
      <c r="AB281" s="8">
        <f t="shared" si="31"/>
        <v>2800.28</v>
      </c>
      <c r="AC281">
        <f t="shared" si="32"/>
        <v>21.9</v>
      </c>
      <c r="AD281" t="str">
        <f t="shared" si="33"/>
        <v>Low</v>
      </c>
      <c r="AE281" t="str">
        <f t="shared" si="34"/>
        <v>No</v>
      </c>
    </row>
    <row r="282" spans="1:31" x14ac:dyDescent="0.35">
      <c r="A282" t="s">
        <v>389</v>
      </c>
      <c r="B282" s="5">
        <v>46153</v>
      </c>
      <c r="C282" t="s">
        <v>364</v>
      </c>
      <c r="D282" t="s">
        <v>23</v>
      </c>
      <c r="E282" t="s">
        <v>78</v>
      </c>
      <c r="F282" t="s">
        <v>29</v>
      </c>
      <c r="G282" t="s">
        <v>90</v>
      </c>
      <c r="H282" t="s">
        <v>38</v>
      </c>
      <c r="I282" t="s">
        <v>47</v>
      </c>
      <c r="J282">
        <v>1545</v>
      </c>
      <c r="K282">
        <v>1370</v>
      </c>
      <c r="L282">
        <v>41</v>
      </c>
      <c r="M282">
        <v>15</v>
      </c>
      <c r="N282">
        <v>1340</v>
      </c>
      <c r="O282">
        <v>56.5</v>
      </c>
      <c r="P282">
        <v>5.2</v>
      </c>
      <c r="Q282" t="s">
        <v>80</v>
      </c>
      <c r="R282" t="s">
        <v>81</v>
      </c>
      <c r="S282" t="s">
        <v>100</v>
      </c>
      <c r="T282">
        <v>6</v>
      </c>
      <c r="U282">
        <v>5</v>
      </c>
      <c r="V282" s="6">
        <v>265.89999999999998</v>
      </c>
      <c r="W282" s="6">
        <v>7449.33</v>
      </c>
      <c r="X282" t="s">
        <v>94</v>
      </c>
      <c r="Y282" s="7">
        <f t="shared" si="28"/>
        <v>2.9927007299270073E-2</v>
      </c>
      <c r="Z282" s="7">
        <f t="shared" si="29"/>
        <v>0.97810218978102192</v>
      </c>
      <c r="AA282">
        <f t="shared" si="30"/>
        <v>175</v>
      </c>
      <c r="AB282" s="8">
        <f t="shared" si="31"/>
        <v>10901.9</v>
      </c>
      <c r="AC282">
        <f t="shared" si="32"/>
        <v>37.700000000000003</v>
      </c>
      <c r="AD282" t="str">
        <f t="shared" si="33"/>
        <v>Low</v>
      </c>
      <c r="AE282" t="str">
        <f t="shared" si="34"/>
        <v>No</v>
      </c>
    </row>
    <row r="283" spans="1:31" x14ac:dyDescent="0.35">
      <c r="A283" t="s">
        <v>390</v>
      </c>
      <c r="B283" s="5">
        <v>46153</v>
      </c>
      <c r="C283" t="s">
        <v>364</v>
      </c>
      <c r="D283" t="s">
        <v>22</v>
      </c>
      <c r="E283" t="s">
        <v>93</v>
      </c>
      <c r="F283" t="s">
        <v>30</v>
      </c>
      <c r="G283" t="s">
        <v>90</v>
      </c>
      <c r="H283" t="s">
        <v>36</v>
      </c>
      <c r="I283" t="s">
        <v>48</v>
      </c>
      <c r="J283">
        <v>1342</v>
      </c>
      <c r="K283">
        <v>1217</v>
      </c>
      <c r="L283">
        <v>28</v>
      </c>
      <c r="M283">
        <v>18</v>
      </c>
      <c r="N283">
        <v>1092</v>
      </c>
      <c r="O283">
        <v>31.2</v>
      </c>
      <c r="P283">
        <v>14.5</v>
      </c>
      <c r="Q283" t="s">
        <v>80</v>
      </c>
      <c r="R283" t="s">
        <v>81</v>
      </c>
      <c r="S283" t="s">
        <v>82</v>
      </c>
      <c r="T283">
        <v>4</v>
      </c>
      <c r="U283">
        <v>2</v>
      </c>
      <c r="V283" s="6">
        <v>150.03</v>
      </c>
      <c r="W283" s="6">
        <v>2550.7399999999998</v>
      </c>
      <c r="X283" t="s">
        <v>87</v>
      </c>
      <c r="Y283" s="7">
        <f t="shared" si="28"/>
        <v>2.3007395234182416E-2</v>
      </c>
      <c r="Z283" s="7">
        <f t="shared" si="29"/>
        <v>0.89728841413311422</v>
      </c>
      <c r="AA283">
        <f t="shared" si="30"/>
        <v>125</v>
      </c>
      <c r="AB283" s="8">
        <f t="shared" si="31"/>
        <v>4200.84</v>
      </c>
      <c r="AC283">
        <f t="shared" si="32"/>
        <v>46.5</v>
      </c>
      <c r="AD283" t="str">
        <f t="shared" si="33"/>
        <v>Medium</v>
      </c>
      <c r="AE283" t="str">
        <f t="shared" si="34"/>
        <v>No</v>
      </c>
    </row>
    <row r="284" spans="1:31" x14ac:dyDescent="0.35">
      <c r="A284" t="s">
        <v>391</v>
      </c>
      <c r="B284" s="5">
        <v>46153</v>
      </c>
      <c r="C284" t="s">
        <v>364</v>
      </c>
      <c r="D284" t="s">
        <v>20</v>
      </c>
      <c r="E284" t="s">
        <v>78</v>
      </c>
      <c r="F284" t="s">
        <v>27</v>
      </c>
      <c r="G284" t="s">
        <v>85</v>
      </c>
      <c r="H284" t="s">
        <v>37</v>
      </c>
      <c r="I284" t="s">
        <v>47</v>
      </c>
      <c r="J284">
        <v>886</v>
      </c>
      <c r="K284">
        <v>847</v>
      </c>
      <c r="L284">
        <v>19</v>
      </c>
      <c r="M284">
        <v>11</v>
      </c>
      <c r="N284">
        <v>829</v>
      </c>
      <c r="O284">
        <v>35.700000000000003</v>
      </c>
      <c r="P284">
        <v>7.1</v>
      </c>
      <c r="Q284" t="s">
        <v>80</v>
      </c>
      <c r="R284" t="s">
        <v>81</v>
      </c>
      <c r="S284" t="s">
        <v>82</v>
      </c>
      <c r="T284">
        <v>1</v>
      </c>
      <c r="U284">
        <v>2</v>
      </c>
      <c r="V284" s="6">
        <v>183.46</v>
      </c>
      <c r="W284" s="6">
        <v>1188.24</v>
      </c>
      <c r="X284" t="s">
        <v>94</v>
      </c>
      <c r="Y284" s="7">
        <f t="shared" si="28"/>
        <v>2.2432113341204249E-2</v>
      </c>
      <c r="Z284" s="7">
        <f t="shared" si="29"/>
        <v>0.97874852420306968</v>
      </c>
      <c r="AA284">
        <f t="shared" si="30"/>
        <v>39</v>
      </c>
      <c r="AB284" s="8">
        <f t="shared" si="31"/>
        <v>3485.7400000000002</v>
      </c>
      <c r="AC284">
        <f t="shared" si="32"/>
        <v>32.6</v>
      </c>
      <c r="AD284" t="str">
        <f t="shared" si="33"/>
        <v>Low</v>
      </c>
      <c r="AE284" t="str">
        <f t="shared" si="34"/>
        <v>No</v>
      </c>
    </row>
    <row r="285" spans="1:31" x14ac:dyDescent="0.35">
      <c r="A285" t="s">
        <v>392</v>
      </c>
      <c r="B285" s="5">
        <v>46153</v>
      </c>
      <c r="C285" t="s">
        <v>364</v>
      </c>
      <c r="D285" t="s">
        <v>23</v>
      </c>
      <c r="E285" t="s">
        <v>78</v>
      </c>
      <c r="F285" t="s">
        <v>31</v>
      </c>
      <c r="G285" t="s">
        <v>85</v>
      </c>
      <c r="H285" t="s">
        <v>38</v>
      </c>
      <c r="I285" t="s">
        <v>48</v>
      </c>
      <c r="J285">
        <v>864</v>
      </c>
      <c r="K285">
        <v>755</v>
      </c>
      <c r="L285">
        <v>14</v>
      </c>
      <c r="M285">
        <v>7</v>
      </c>
      <c r="N285">
        <v>674</v>
      </c>
      <c r="O285">
        <v>55.2</v>
      </c>
      <c r="P285">
        <v>1.8</v>
      </c>
      <c r="Q285" t="s">
        <v>80</v>
      </c>
      <c r="R285" t="s">
        <v>81</v>
      </c>
      <c r="S285" t="s">
        <v>82</v>
      </c>
      <c r="T285">
        <v>5</v>
      </c>
      <c r="U285">
        <v>0</v>
      </c>
      <c r="V285" s="6">
        <v>303.18</v>
      </c>
      <c r="W285" s="6">
        <v>2054.77</v>
      </c>
      <c r="X285" t="s">
        <v>94</v>
      </c>
      <c r="Y285" s="7">
        <f t="shared" si="28"/>
        <v>1.8543046357615896E-2</v>
      </c>
      <c r="Z285" s="7">
        <f t="shared" si="29"/>
        <v>0.89271523178807943</v>
      </c>
      <c r="AA285">
        <f t="shared" si="30"/>
        <v>109</v>
      </c>
      <c r="AB285" s="8">
        <f t="shared" si="31"/>
        <v>4244.5200000000004</v>
      </c>
      <c r="AC285">
        <f t="shared" si="32"/>
        <v>25.7</v>
      </c>
      <c r="AD285" t="str">
        <f t="shared" si="33"/>
        <v>Low</v>
      </c>
      <c r="AE285" t="str">
        <f t="shared" si="34"/>
        <v>No</v>
      </c>
    </row>
    <row r="286" spans="1:31" x14ac:dyDescent="0.35">
      <c r="A286" t="s">
        <v>393</v>
      </c>
      <c r="B286" s="5">
        <v>46153</v>
      </c>
      <c r="C286" t="s">
        <v>364</v>
      </c>
      <c r="D286" t="s">
        <v>24</v>
      </c>
      <c r="E286" t="s">
        <v>78</v>
      </c>
      <c r="F286" t="s">
        <v>31</v>
      </c>
      <c r="G286" t="s">
        <v>85</v>
      </c>
      <c r="H286" t="s">
        <v>38</v>
      </c>
      <c r="I286" t="s">
        <v>47</v>
      </c>
      <c r="J286">
        <v>1123</v>
      </c>
      <c r="K286">
        <v>1170</v>
      </c>
      <c r="L286">
        <v>31</v>
      </c>
      <c r="M286">
        <v>16</v>
      </c>
      <c r="N286">
        <v>1077</v>
      </c>
      <c r="O286">
        <v>45.2</v>
      </c>
      <c r="P286">
        <v>10.199999999999999</v>
      </c>
      <c r="Q286" t="s">
        <v>86</v>
      </c>
      <c r="R286" t="s">
        <v>81</v>
      </c>
      <c r="S286" t="s">
        <v>82</v>
      </c>
      <c r="T286">
        <v>5</v>
      </c>
      <c r="U286">
        <v>3</v>
      </c>
      <c r="V286" s="6">
        <v>196.77</v>
      </c>
      <c r="W286" s="6">
        <v>1888.21</v>
      </c>
      <c r="X286" t="s">
        <v>94</v>
      </c>
      <c r="Y286" s="7">
        <f t="shared" si="28"/>
        <v>2.6495726495726495E-2</v>
      </c>
      <c r="Z286" s="7">
        <f t="shared" si="29"/>
        <v>0.92051282051282046</v>
      </c>
      <c r="AA286">
        <f t="shared" si="30"/>
        <v>-47</v>
      </c>
      <c r="AB286" s="8">
        <f t="shared" si="31"/>
        <v>6099.87</v>
      </c>
      <c r="AC286">
        <f t="shared" si="32"/>
        <v>61.3</v>
      </c>
      <c r="AD286" t="str">
        <f t="shared" si="33"/>
        <v>Medium</v>
      </c>
      <c r="AE286" t="str">
        <f t="shared" si="34"/>
        <v>Yes</v>
      </c>
    </row>
    <row r="287" spans="1:31" x14ac:dyDescent="0.35">
      <c r="A287" t="s">
        <v>394</v>
      </c>
      <c r="B287" s="5">
        <v>46160</v>
      </c>
      <c r="C287" t="s">
        <v>364</v>
      </c>
      <c r="D287" t="s">
        <v>23</v>
      </c>
      <c r="E287" t="s">
        <v>78</v>
      </c>
      <c r="F287" t="s">
        <v>30</v>
      </c>
      <c r="G287" t="s">
        <v>79</v>
      </c>
      <c r="H287" t="s">
        <v>38</v>
      </c>
      <c r="I287" t="s">
        <v>46</v>
      </c>
      <c r="J287">
        <v>1199</v>
      </c>
      <c r="K287">
        <v>1109</v>
      </c>
      <c r="L287">
        <v>22</v>
      </c>
      <c r="M287">
        <v>7</v>
      </c>
      <c r="N287">
        <v>1051</v>
      </c>
      <c r="O287">
        <v>57.1</v>
      </c>
      <c r="P287">
        <v>14.6</v>
      </c>
      <c r="Q287" t="s">
        <v>86</v>
      </c>
      <c r="R287" t="s">
        <v>81</v>
      </c>
      <c r="S287" t="s">
        <v>82</v>
      </c>
      <c r="T287">
        <v>3</v>
      </c>
      <c r="U287">
        <v>1</v>
      </c>
      <c r="V287" s="6">
        <v>139.91999999999999</v>
      </c>
      <c r="W287" s="6">
        <v>2130.71</v>
      </c>
      <c r="X287" t="s">
        <v>94</v>
      </c>
      <c r="Y287" s="7">
        <f t="shared" si="28"/>
        <v>1.9837691614066726E-2</v>
      </c>
      <c r="Z287" s="7">
        <f t="shared" si="29"/>
        <v>0.94770063119927861</v>
      </c>
      <c r="AA287">
        <f t="shared" si="30"/>
        <v>90</v>
      </c>
      <c r="AB287" s="8">
        <f t="shared" si="31"/>
        <v>3078.24</v>
      </c>
      <c r="AC287">
        <f t="shared" si="32"/>
        <v>59.2</v>
      </c>
      <c r="AD287" t="str">
        <f t="shared" si="33"/>
        <v>Medium</v>
      </c>
      <c r="AE287" t="str">
        <f t="shared" si="34"/>
        <v>Yes</v>
      </c>
    </row>
    <row r="288" spans="1:31" x14ac:dyDescent="0.35">
      <c r="A288" t="s">
        <v>395</v>
      </c>
      <c r="B288" s="5">
        <v>46160</v>
      </c>
      <c r="C288" t="s">
        <v>364</v>
      </c>
      <c r="D288" t="s">
        <v>25</v>
      </c>
      <c r="E288" t="s">
        <v>89</v>
      </c>
      <c r="F288" t="s">
        <v>30</v>
      </c>
      <c r="G288" t="s">
        <v>85</v>
      </c>
      <c r="H288" t="s">
        <v>40</v>
      </c>
      <c r="I288" t="s">
        <v>46</v>
      </c>
      <c r="J288">
        <v>952</v>
      </c>
      <c r="K288">
        <v>897</v>
      </c>
      <c r="L288">
        <v>23</v>
      </c>
      <c r="M288">
        <v>13</v>
      </c>
      <c r="N288">
        <v>890</v>
      </c>
      <c r="O288">
        <v>47.1</v>
      </c>
      <c r="P288">
        <v>14.2</v>
      </c>
      <c r="Q288" t="s">
        <v>80</v>
      </c>
      <c r="R288" t="s">
        <v>81</v>
      </c>
      <c r="S288" t="s">
        <v>82</v>
      </c>
      <c r="T288">
        <v>6</v>
      </c>
      <c r="U288">
        <v>1</v>
      </c>
      <c r="V288" s="6">
        <v>302.2</v>
      </c>
      <c r="W288" s="6">
        <v>3385.27</v>
      </c>
      <c r="X288" t="s">
        <v>94</v>
      </c>
      <c r="Y288" s="7">
        <f t="shared" si="28"/>
        <v>2.564102564102564E-2</v>
      </c>
      <c r="Z288" s="7">
        <f t="shared" si="29"/>
        <v>0.99219620958751398</v>
      </c>
      <c r="AA288">
        <f t="shared" si="30"/>
        <v>55</v>
      </c>
      <c r="AB288" s="8">
        <f t="shared" si="31"/>
        <v>6950.5999999999995</v>
      </c>
      <c r="AC288">
        <f t="shared" si="32"/>
        <v>44.5</v>
      </c>
      <c r="AD288" t="str">
        <f t="shared" si="33"/>
        <v>Medium</v>
      </c>
      <c r="AE288" t="str">
        <f t="shared" si="34"/>
        <v>No</v>
      </c>
    </row>
    <row r="289" spans="1:31" x14ac:dyDescent="0.35">
      <c r="A289" t="s">
        <v>396</v>
      </c>
      <c r="B289" s="5">
        <v>46160</v>
      </c>
      <c r="C289" t="s">
        <v>364</v>
      </c>
      <c r="D289" t="s">
        <v>20</v>
      </c>
      <c r="E289" t="s">
        <v>78</v>
      </c>
      <c r="F289" t="s">
        <v>29</v>
      </c>
      <c r="G289" t="s">
        <v>79</v>
      </c>
      <c r="H289" t="s">
        <v>36</v>
      </c>
      <c r="I289" t="s">
        <v>44</v>
      </c>
      <c r="J289">
        <v>1101</v>
      </c>
      <c r="K289">
        <v>1083</v>
      </c>
      <c r="L289">
        <v>16</v>
      </c>
      <c r="M289">
        <v>9</v>
      </c>
      <c r="N289">
        <v>1042</v>
      </c>
      <c r="O289">
        <v>39.299999999999997</v>
      </c>
      <c r="P289">
        <v>9.6</v>
      </c>
      <c r="Q289" t="s">
        <v>80</v>
      </c>
      <c r="R289" t="s">
        <v>81</v>
      </c>
      <c r="S289" t="s">
        <v>82</v>
      </c>
      <c r="T289">
        <v>0</v>
      </c>
      <c r="U289">
        <v>0</v>
      </c>
      <c r="V289" s="6">
        <v>156.72999999999999</v>
      </c>
      <c r="W289" s="6">
        <v>1885.26</v>
      </c>
      <c r="X289" t="s">
        <v>94</v>
      </c>
      <c r="Y289" s="7">
        <f t="shared" si="28"/>
        <v>1.4773776546629732E-2</v>
      </c>
      <c r="Z289" s="7">
        <f t="shared" si="29"/>
        <v>0.96214219759926134</v>
      </c>
      <c r="AA289">
        <f t="shared" si="30"/>
        <v>18</v>
      </c>
      <c r="AB289" s="8">
        <f t="shared" si="31"/>
        <v>2507.6799999999998</v>
      </c>
      <c r="AC289">
        <f t="shared" si="32"/>
        <v>29</v>
      </c>
      <c r="AD289" t="str">
        <f t="shared" si="33"/>
        <v>Low</v>
      </c>
      <c r="AE289" t="str">
        <f t="shared" si="34"/>
        <v>No</v>
      </c>
    </row>
    <row r="290" spans="1:31" x14ac:dyDescent="0.35">
      <c r="A290" t="s">
        <v>397</v>
      </c>
      <c r="B290" s="5">
        <v>46160</v>
      </c>
      <c r="C290" t="s">
        <v>364</v>
      </c>
      <c r="D290" t="s">
        <v>23</v>
      </c>
      <c r="E290" t="s">
        <v>78</v>
      </c>
      <c r="F290" t="s">
        <v>30</v>
      </c>
      <c r="G290" t="s">
        <v>79</v>
      </c>
      <c r="H290" t="s">
        <v>40</v>
      </c>
      <c r="I290" t="s">
        <v>47</v>
      </c>
      <c r="J290">
        <v>1232</v>
      </c>
      <c r="K290">
        <v>1175</v>
      </c>
      <c r="L290">
        <v>53</v>
      </c>
      <c r="M290">
        <v>36</v>
      </c>
      <c r="N290">
        <v>1091</v>
      </c>
      <c r="O290">
        <v>73.8</v>
      </c>
      <c r="P290">
        <v>6.6</v>
      </c>
      <c r="Q290" t="s">
        <v>80</v>
      </c>
      <c r="R290" t="s">
        <v>81</v>
      </c>
      <c r="S290" t="s">
        <v>82</v>
      </c>
      <c r="T290">
        <v>10</v>
      </c>
      <c r="U290">
        <v>5</v>
      </c>
      <c r="V290" s="6">
        <v>173.9</v>
      </c>
      <c r="W290" s="6">
        <v>6946.4</v>
      </c>
      <c r="X290" t="s">
        <v>94</v>
      </c>
      <c r="Y290" s="7">
        <f t="shared" si="28"/>
        <v>4.5106382978723401E-2</v>
      </c>
      <c r="Z290" s="7">
        <f t="shared" si="29"/>
        <v>0.92851063829787239</v>
      </c>
      <c r="AA290">
        <f t="shared" si="30"/>
        <v>57</v>
      </c>
      <c r="AB290" s="8">
        <f t="shared" si="31"/>
        <v>9216.7000000000007</v>
      </c>
      <c r="AC290">
        <f t="shared" si="32"/>
        <v>56.9</v>
      </c>
      <c r="AD290" t="str">
        <f t="shared" si="33"/>
        <v>Medium</v>
      </c>
      <c r="AE290" t="str">
        <f t="shared" si="34"/>
        <v>No</v>
      </c>
    </row>
    <row r="291" spans="1:31" x14ac:dyDescent="0.35">
      <c r="A291" t="s">
        <v>398</v>
      </c>
      <c r="B291" s="5">
        <v>46160</v>
      </c>
      <c r="C291" t="s">
        <v>364</v>
      </c>
      <c r="D291" t="s">
        <v>20</v>
      </c>
      <c r="E291" t="s">
        <v>78</v>
      </c>
      <c r="F291" t="s">
        <v>30</v>
      </c>
      <c r="G291" t="s">
        <v>85</v>
      </c>
      <c r="H291" t="s">
        <v>36</v>
      </c>
      <c r="I291" t="s">
        <v>46</v>
      </c>
      <c r="J291">
        <v>1501</v>
      </c>
      <c r="K291">
        <v>1517</v>
      </c>
      <c r="L291">
        <v>35</v>
      </c>
      <c r="M291">
        <v>13</v>
      </c>
      <c r="N291">
        <v>1456</v>
      </c>
      <c r="O291">
        <v>30.4</v>
      </c>
      <c r="P291">
        <v>6.7</v>
      </c>
      <c r="Q291" t="s">
        <v>80</v>
      </c>
      <c r="R291" t="s">
        <v>81</v>
      </c>
      <c r="S291" t="s">
        <v>82</v>
      </c>
      <c r="T291">
        <v>5</v>
      </c>
      <c r="U291">
        <v>3</v>
      </c>
      <c r="V291" s="6">
        <v>314.86</v>
      </c>
      <c r="W291" s="6">
        <v>8395.92</v>
      </c>
      <c r="X291" t="s">
        <v>94</v>
      </c>
      <c r="Y291" s="7">
        <f t="shared" si="28"/>
        <v>2.3071852340145024E-2</v>
      </c>
      <c r="Z291" s="7">
        <f t="shared" si="29"/>
        <v>0.95978905735003295</v>
      </c>
      <c r="AA291">
        <f t="shared" si="30"/>
        <v>-16</v>
      </c>
      <c r="AB291" s="8">
        <f t="shared" si="31"/>
        <v>11020.1</v>
      </c>
      <c r="AC291">
        <f t="shared" si="32"/>
        <v>33.6</v>
      </c>
      <c r="AD291" t="str">
        <f t="shared" si="33"/>
        <v>Low</v>
      </c>
      <c r="AE291" t="str">
        <f t="shared" si="34"/>
        <v>No</v>
      </c>
    </row>
    <row r="292" spans="1:31" x14ac:dyDescent="0.35">
      <c r="A292" t="s">
        <v>399</v>
      </c>
      <c r="B292" s="5">
        <v>46160</v>
      </c>
      <c r="C292" t="s">
        <v>364</v>
      </c>
      <c r="D292" t="s">
        <v>25</v>
      </c>
      <c r="E292" t="s">
        <v>89</v>
      </c>
      <c r="F292" t="s">
        <v>32</v>
      </c>
      <c r="G292" t="s">
        <v>85</v>
      </c>
      <c r="H292" t="s">
        <v>36</v>
      </c>
      <c r="I292" t="s">
        <v>45</v>
      </c>
      <c r="J292">
        <v>838</v>
      </c>
      <c r="K292">
        <v>770</v>
      </c>
      <c r="L292">
        <v>24</v>
      </c>
      <c r="M292">
        <v>9</v>
      </c>
      <c r="N292">
        <v>755</v>
      </c>
      <c r="O292">
        <v>24.2</v>
      </c>
      <c r="P292">
        <v>7</v>
      </c>
      <c r="Q292" t="s">
        <v>80</v>
      </c>
      <c r="R292" t="s">
        <v>81</v>
      </c>
      <c r="S292" t="s">
        <v>82</v>
      </c>
      <c r="T292">
        <v>5</v>
      </c>
      <c r="U292">
        <v>0</v>
      </c>
      <c r="V292" s="6">
        <v>278.88</v>
      </c>
      <c r="W292" s="6">
        <v>2869.65</v>
      </c>
      <c r="X292" t="s">
        <v>115</v>
      </c>
      <c r="Y292" s="7">
        <f t="shared" si="28"/>
        <v>3.1168831168831169E-2</v>
      </c>
      <c r="Z292" s="7">
        <f t="shared" si="29"/>
        <v>0.98051948051948057</v>
      </c>
      <c r="AA292">
        <f t="shared" si="30"/>
        <v>68</v>
      </c>
      <c r="AB292" s="8">
        <f t="shared" si="31"/>
        <v>6693.12</v>
      </c>
      <c r="AC292">
        <f t="shared" si="32"/>
        <v>41.1</v>
      </c>
      <c r="AD292" t="str">
        <f t="shared" si="33"/>
        <v>Medium</v>
      </c>
      <c r="AE292" t="str">
        <f t="shared" si="34"/>
        <v>No</v>
      </c>
    </row>
    <row r="293" spans="1:31" x14ac:dyDescent="0.35">
      <c r="A293" t="s">
        <v>400</v>
      </c>
      <c r="B293" s="5">
        <v>46160</v>
      </c>
      <c r="C293" t="s">
        <v>364</v>
      </c>
      <c r="D293" t="s">
        <v>22</v>
      </c>
      <c r="E293" t="s">
        <v>93</v>
      </c>
      <c r="F293" t="s">
        <v>31</v>
      </c>
      <c r="G293" t="s">
        <v>90</v>
      </c>
      <c r="H293" t="s">
        <v>39</v>
      </c>
      <c r="I293" t="s">
        <v>44</v>
      </c>
      <c r="J293">
        <v>1142</v>
      </c>
      <c r="K293">
        <v>1025</v>
      </c>
      <c r="L293">
        <v>26</v>
      </c>
      <c r="M293">
        <v>16</v>
      </c>
      <c r="N293">
        <v>902</v>
      </c>
      <c r="O293">
        <v>44.8</v>
      </c>
      <c r="P293">
        <v>16.5</v>
      </c>
      <c r="Q293" t="s">
        <v>86</v>
      </c>
      <c r="R293" t="s">
        <v>81</v>
      </c>
      <c r="S293" t="s">
        <v>82</v>
      </c>
      <c r="T293">
        <v>0</v>
      </c>
      <c r="U293">
        <v>0</v>
      </c>
      <c r="V293" s="6">
        <v>40.409999999999997</v>
      </c>
      <c r="W293" s="6">
        <v>283.05</v>
      </c>
      <c r="X293" t="s">
        <v>94</v>
      </c>
      <c r="Y293" s="7">
        <f t="shared" si="28"/>
        <v>2.5365853658536587E-2</v>
      </c>
      <c r="Z293" s="7">
        <f t="shared" si="29"/>
        <v>0.88</v>
      </c>
      <c r="AA293">
        <f t="shared" si="30"/>
        <v>117</v>
      </c>
      <c r="AB293" s="8">
        <f t="shared" si="31"/>
        <v>1050.6599999999999</v>
      </c>
      <c r="AC293">
        <f t="shared" si="32"/>
        <v>70.2</v>
      </c>
      <c r="AD293" t="str">
        <f t="shared" si="33"/>
        <v>High</v>
      </c>
      <c r="AE293" t="str">
        <f t="shared" si="34"/>
        <v>Yes</v>
      </c>
    </row>
    <row r="294" spans="1:31" x14ac:dyDescent="0.35">
      <c r="A294" t="s">
        <v>401</v>
      </c>
      <c r="B294" s="5">
        <v>46160</v>
      </c>
      <c r="C294" t="s">
        <v>364</v>
      </c>
      <c r="D294" t="s">
        <v>24</v>
      </c>
      <c r="E294" t="s">
        <v>78</v>
      </c>
      <c r="F294" t="s">
        <v>31</v>
      </c>
      <c r="G294" t="s">
        <v>90</v>
      </c>
      <c r="H294" t="s">
        <v>34</v>
      </c>
      <c r="I294" t="s">
        <v>47</v>
      </c>
      <c r="J294">
        <v>1383</v>
      </c>
      <c r="K294">
        <v>1433</v>
      </c>
      <c r="L294">
        <v>23</v>
      </c>
      <c r="M294">
        <v>15</v>
      </c>
      <c r="N294">
        <v>1375</v>
      </c>
      <c r="O294">
        <v>74.900000000000006</v>
      </c>
      <c r="P294">
        <v>17.8</v>
      </c>
      <c r="Q294" t="s">
        <v>80</v>
      </c>
      <c r="R294" t="s">
        <v>81</v>
      </c>
      <c r="S294" t="s">
        <v>82</v>
      </c>
      <c r="T294">
        <v>5</v>
      </c>
      <c r="U294">
        <v>3</v>
      </c>
      <c r="V294" s="6">
        <v>180.05</v>
      </c>
      <c r="W294" s="6">
        <v>2160.1</v>
      </c>
      <c r="X294" t="s">
        <v>94</v>
      </c>
      <c r="Y294" s="7">
        <f t="shared" si="28"/>
        <v>1.6050244242847175E-2</v>
      </c>
      <c r="Z294" s="7">
        <f t="shared" si="29"/>
        <v>0.9595254710397767</v>
      </c>
      <c r="AA294">
        <f t="shared" si="30"/>
        <v>-50</v>
      </c>
      <c r="AB294" s="8">
        <f t="shared" si="31"/>
        <v>4141.1500000000005</v>
      </c>
      <c r="AC294">
        <f t="shared" si="32"/>
        <v>41</v>
      </c>
      <c r="AD294" t="str">
        <f t="shared" si="33"/>
        <v>Medium</v>
      </c>
      <c r="AE294" t="str">
        <f t="shared" si="34"/>
        <v>No</v>
      </c>
    </row>
    <row r="295" spans="1:31" x14ac:dyDescent="0.35">
      <c r="A295" t="s">
        <v>402</v>
      </c>
      <c r="B295" s="5">
        <v>46160</v>
      </c>
      <c r="C295" t="s">
        <v>364</v>
      </c>
      <c r="D295" t="s">
        <v>23</v>
      </c>
      <c r="E295" t="s">
        <v>78</v>
      </c>
      <c r="F295" t="s">
        <v>29</v>
      </c>
      <c r="G295" t="s">
        <v>90</v>
      </c>
      <c r="H295" t="s">
        <v>34</v>
      </c>
      <c r="I295" t="s">
        <v>44</v>
      </c>
      <c r="J295">
        <v>1036</v>
      </c>
      <c r="K295">
        <v>953</v>
      </c>
      <c r="L295">
        <v>16</v>
      </c>
      <c r="M295">
        <v>12</v>
      </c>
      <c r="N295">
        <v>848</v>
      </c>
      <c r="O295">
        <v>75.599999999999994</v>
      </c>
      <c r="P295">
        <v>5.8</v>
      </c>
      <c r="Q295" t="s">
        <v>86</v>
      </c>
      <c r="R295" t="s">
        <v>81</v>
      </c>
      <c r="S295" t="s">
        <v>82</v>
      </c>
      <c r="T295">
        <v>1</v>
      </c>
      <c r="U295">
        <v>0</v>
      </c>
      <c r="V295" s="6">
        <v>59.75</v>
      </c>
      <c r="W295" s="6">
        <v>420.71</v>
      </c>
      <c r="X295" t="s">
        <v>94</v>
      </c>
      <c r="Y295" s="7">
        <f t="shared" si="28"/>
        <v>1.6789087093389297E-2</v>
      </c>
      <c r="Z295" s="7">
        <f t="shared" si="29"/>
        <v>0.88982161594963272</v>
      </c>
      <c r="AA295">
        <f t="shared" si="30"/>
        <v>83</v>
      </c>
      <c r="AB295" s="8">
        <f t="shared" si="31"/>
        <v>956</v>
      </c>
      <c r="AC295">
        <f t="shared" si="32"/>
        <v>47.3</v>
      </c>
      <c r="AD295" t="str">
        <f t="shared" si="33"/>
        <v>Medium</v>
      </c>
      <c r="AE295" t="str">
        <f t="shared" si="34"/>
        <v>Yes</v>
      </c>
    </row>
    <row r="296" spans="1:31" x14ac:dyDescent="0.35">
      <c r="A296" t="s">
        <v>403</v>
      </c>
      <c r="B296" s="5">
        <v>46160</v>
      </c>
      <c r="C296" t="s">
        <v>364</v>
      </c>
      <c r="D296" t="s">
        <v>23</v>
      </c>
      <c r="E296" t="s">
        <v>78</v>
      </c>
      <c r="F296" t="s">
        <v>31</v>
      </c>
      <c r="G296" t="s">
        <v>79</v>
      </c>
      <c r="H296" t="s">
        <v>39</v>
      </c>
      <c r="I296" t="s">
        <v>45</v>
      </c>
      <c r="J296">
        <v>1535</v>
      </c>
      <c r="K296">
        <v>1400</v>
      </c>
      <c r="L296">
        <v>28</v>
      </c>
      <c r="M296">
        <v>21</v>
      </c>
      <c r="N296">
        <v>1388</v>
      </c>
      <c r="O296">
        <v>21.2</v>
      </c>
      <c r="P296">
        <v>9.6</v>
      </c>
      <c r="Q296" t="s">
        <v>80</v>
      </c>
      <c r="R296" t="s">
        <v>81</v>
      </c>
      <c r="S296" t="s">
        <v>138</v>
      </c>
      <c r="T296">
        <v>2</v>
      </c>
      <c r="U296">
        <v>2</v>
      </c>
      <c r="V296" s="6">
        <v>281.77</v>
      </c>
      <c r="W296" s="6">
        <v>2832.62</v>
      </c>
      <c r="X296" t="s">
        <v>115</v>
      </c>
      <c r="Y296" s="7">
        <f t="shared" si="28"/>
        <v>0.02</v>
      </c>
      <c r="Z296" s="7">
        <f t="shared" si="29"/>
        <v>0.99142857142857144</v>
      </c>
      <c r="AA296">
        <f t="shared" si="30"/>
        <v>135</v>
      </c>
      <c r="AB296" s="8">
        <f t="shared" si="31"/>
        <v>7889.5599999999995</v>
      </c>
      <c r="AC296">
        <f t="shared" si="32"/>
        <v>44.9</v>
      </c>
      <c r="AD296" t="str">
        <f t="shared" si="33"/>
        <v>Medium</v>
      </c>
      <c r="AE296" t="str">
        <f t="shared" si="34"/>
        <v>Yes</v>
      </c>
    </row>
    <row r="297" spans="1:31" x14ac:dyDescent="0.35">
      <c r="A297" t="s">
        <v>404</v>
      </c>
      <c r="B297" s="5">
        <v>46160</v>
      </c>
      <c r="C297" t="s">
        <v>364</v>
      </c>
      <c r="D297" t="s">
        <v>22</v>
      </c>
      <c r="E297" t="s">
        <v>93</v>
      </c>
      <c r="F297" t="s">
        <v>29</v>
      </c>
      <c r="G297" t="s">
        <v>85</v>
      </c>
      <c r="H297" t="s">
        <v>34</v>
      </c>
      <c r="I297" t="s">
        <v>44</v>
      </c>
      <c r="J297">
        <v>1180</v>
      </c>
      <c r="K297">
        <v>1069</v>
      </c>
      <c r="L297">
        <v>13</v>
      </c>
      <c r="M297">
        <v>7</v>
      </c>
      <c r="N297">
        <v>970</v>
      </c>
      <c r="O297">
        <v>33</v>
      </c>
      <c r="P297">
        <v>4.2</v>
      </c>
      <c r="Q297" t="s">
        <v>86</v>
      </c>
      <c r="R297" t="s">
        <v>81</v>
      </c>
      <c r="S297" t="s">
        <v>82</v>
      </c>
      <c r="T297">
        <v>0</v>
      </c>
      <c r="U297">
        <v>3</v>
      </c>
      <c r="V297" s="6">
        <v>160.87</v>
      </c>
      <c r="W297" s="6">
        <v>828.23</v>
      </c>
      <c r="X297" t="s">
        <v>87</v>
      </c>
      <c r="Y297" s="7">
        <f t="shared" si="28"/>
        <v>1.216089803554724E-2</v>
      </c>
      <c r="Z297" s="7">
        <f t="shared" si="29"/>
        <v>0.90739008419083256</v>
      </c>
      <c r="AA297">
        <f t="shared" si="30"/>
        <v>111</v>
      </c>
      <c r="AB297" s="8">
        <f t="shared" si="31"/>
        <v>2091.31</v>
      </c>
      <c r="AC297">
        <f t="shared" si="32"/>
        <v>39.799999999999997</v>
      </c>
      <c r="AD297" t="str">
        <f t="shared" si="33"/>
        <v>Low</v>
      </c>
      <c r="AE297" t="str">
        <f t="shared" si="34"/>
        <v>Yes</v>
      </c>
    </row>
    <row r="298" spans="1:31" x14ac:dyDescent="0.35">
      <c r="A298" t="s">
        <v>405</v>
      </c>
      <c r="B298" s="5">
        <v>46160</v>
      </c>
      <c r="C298" t="s">
        <v>364</v>
      </c>
      <c r="D298" t="s">
        <v>25</v>
      </c>
      <c r="E298" t="s">
        <v>89</v>
      </c>
      <c r="F298" t="s">
        <v>30</v>
      </c>
      <c r="G298" t="s">
        <v>90</v>
      </c>
      <c r="H298" t="s">
        <v>40</v>
      </c>
      <c r="I298" t="s">
        <v>47</v>
      </c>
      <c r="J298">
        <v>1416</v>
      </c>
      <c r="K298">
        <v>1354</v>
      </c>
      <c r="L298">
        <v>44</v>
      </c>
      <c r="M298">
        <v>28</v>
      </c>
      <c r="N298">
        <v>1324</v>
      </c>
      <c r="O298">
        <v>37.5</v>
      </c>
      <c r="P298">
        <v>20.100000000000001</v>
      </c>
      <c r="Q298" t="s">
        <v>80</v>
      </c>
      <c r="R298" t="s">
        <v>81</v>
      </c>
      <c r="S298" t="s">
        <v>82</v>
      </c>
      <c r="T298">
        <v>6</v>
      </c>
      <c r="U298">
        <v>3</v>
      </c>
      <c r="V298" s="6">
        <v>347.64</v>
      </c>
      <c r="W298" s="6">
        <v>10710.96</v>
      </c>
      <c r="X298" t="s">
        <v>87</v>
      </c>
      <c r="Y298" s="7">
        <f t="shared" si="28"/>
        <v>3.2496307237813882E-2</v>
      </c>
      <c r="Z298" s="7">
        <f t="shared" si="29"/>
        <v>0.97784342688330872</v>
      </c>
      <c r="AA298">
        <f t="shared" si="30"/>
        <v>62</v>
      </c>
      <c r="AB298" s="8">
        <f t="shared" si="31"/>
        <v>15296.16</v>
      </c>
      <c r="AC298">
        <f t="shared" si="32"/>
        <v>59.6</v>
      </c>
      <c r="AD298" t="str">
        <f t="shared" si="33"/>
        <v>Medium</v>
      </c>
      <c r="AE298" t="str">
        <f t="shared" si="34"/>
        <v>No</v>
      </c>
    </row>
    <row r="299" spans="1:31" x14ac:dyDescent="0.35">
      <c r="A299" t="s">
        <v>406</v>
      </c>
      <c r="B299" s="5">
        <v>46160</v>
      </c>
      <c r="C299" t="s">
        <v>364</v>
      </c>
      <c r="D299" t="s">
        <v>25</v>
      </c>
      <c r="E299" t="s">
        <v>89</v>
      </c>
      <c r="F299" t="s">
        <v>29</v>
      </c>
      <c r="G299" t="s">
        <v>90</v>
      </c>
      <c r="H299" t="s">
        <v>34</v>
      </c>
      <c r="I299" t="s">
        <v>42</v>
      </c>
      <c r="J299">
        <v>1374</v>
      </c>
      <c r="K299">
        <v>1240</v>
      </c>
      <c r="L299">
        <v>28</v>
      </c>
      <c r="M299">
        <v>17</v>
      </c>
      <c r="N299">
        <v>1103</v>
      </c>
      <c r="O299">
        <v>52</v>
      </c>
      <c r="P299">
        <v>6.3</v>
      </c>
      <c r="Q299" t="s">
        <v>80</v>
      </c>
      <c r="R299" t="s">
        <v>99</v>
      </c>
      <c r="S299" t="s">
        <v>82</v>
      </c>
      <c r="T299">
        <v>5</v>
      </c>
      <c r="U299">
        <v>1</v>
      </c>
      <c r="V299" s="6">
        <v>76.3</v>
      </c>
      <c r="W299" s="6">
        <v>961.79</v>
      </c>
      <c r="X299" t="s">
        <v>121</v>
      </c>
      <c r="Y299" s="7">
        <f t="shared" si="28"/>
        <v>2.2580645161290321E-2</v>
      </c>
      <c r="Z299" s="7">
        <f t="shared" si="29"/>
        <v>0.88951612903225807</v>
      </c>
      <c r="AA299">
        <f t="shared" si="30"/>
        <v>134</v>
      </c>
      <c r="AB299" s="8">
        <f t="shared" si="31"/>
        <v>2136.4</v>
      </c>
      <c r="AC299">
        <f t="shared" si="32"/>
        <v>55.7</v>
      </c>
      <c r="AD299" t="str">
        <f t="shared" si="33"/>
        <v>Medium</v>
      </c>
      <c r="AE299" t="str">
        <f t="shared" si="34"/>
        <v>Yes</v>
      </c>
    </row>
    <row r="300" spans="1:31" x14ac:dyDescent="0.35">
      <c r="A300" t="s">
        <v>407</v>
      </c>
      <c r="B300" s="5">
        <v>46160</v>
      </c>
      <c r="C300" t="s">
        <v>364</v>
      </c>
      <c r="D300" t="s">
        <v>22</v>
      </c>
      <c r="E300" t="s">
        <v>93</v>
      </c>
      <c r="F300" t="s">
        <v>29</v>
      </c>
      <c r="G300" t="s">
        <v>85</v>
      </c>
      <c r="H300" t="s">
        <v>39</v>
      </c>
      <c r="I300" t="s">
        <v>45</v>
      </c>
      <c r="J300">
        <v>817</v>
      </c>
      <c r="K300">
        <v>819</v>
      </c>
      <c r="L300">
        <v>27</v>
      </c>
      <c r="M300">
        <v>18</v>
      </c>
      <c r="N300">
        <v>745</v>
      </c>
      <c r="O300">
        <v>67.2</v>
      </c>
      <c r="P300">
        <v>0</v>
      </c>
      <c r="Q300" t="s">
        <v>80</v>
      </c>
      <c r="R300" t="s">
        <v>81</v>
      </c>
      <c r="S300" t="s">
        <v>82</v>
      </c>
      <c r="T300">
        <v>0</v>
      </c>
      <c r="U300">
        <v>0</v>
      </c>
      <c r="V300" s="6">
        <v>79.55</v>
      </c>
      <c r="W300" s="6">
        <v>1289.8499999999999</v>
      </c>
      <c r="X300" t="s">
        <v>94</v>
      </c>
      <c r="Y300" s="7">
        <f t="shared" si="28"/>
        <v>3.2967032967032968E-2</v>
      </c>
      <c r="Z300" s="7">
        <f t="shared" si="29"/>
        <v>0.90964590964590963</v>
      </c>
      <c r="AA300">
        <f t="shared" si="30"/>
        <v>-2</v>
      </c>
      <c r="AB300" s="8">
        <f t="shared" si="31"/>
        <v>2147.85</v>
      </c>
      <c r="AC300">
        <f t="shared" si="32"/>
        <v>37</v>
      </c>
      <c r="AD300" t="str">
        <f t="shared" si="33"/>
        <v>Low</v>
      </c>
      <c r="AE300" t="str">
        <f t="shared" si="34"/>
        <v>No</v>
      </c>
    </row>
    <row r="301" spans="1:31" x14ac:dyDescent="0.35">
      <c r="A301" t="s">
        <v>408</v>
      </c>
      <c r="B301" s="5">
        <v>46160</v>
      </c>
      <c r="C301" t="s">
        <v>364</v>
      </c>
      <c r="D301" t="s">
        <v>20</v>
      </c>
      <c r="E301" t="s">
        <v>78</v>
      </c>
      <c r="F301" t="s">
        <v>32</v>
      </c>
      <c r="G301" t="s">
        <v>79</v>
      </c>
      <c r="H301" t="s">
        <v>34</v>
      </c>
      <c r="I301" t="s">
        <v>45</v>
      </c>
      <c r="J301">
        <v>1388</v>
      </c>
      <c r="K301">
        <v>1405</v>
      </c>
      <c r="L301">
        <v>42</v>
      </c>
      <c r="M301">
        <v>32</v>
      </c>
      <c r="N301">
        <v>1342</v>
      </c>
      <c r="O301">
        <v>41.2</v>
      </c>
      <c r="P301">
        <v>10.5</v>
      </c>
      <c r="Q301" t="s">
        <v>86</v>
      </c>
      <c r="R301" t="s">
        <v>81</v>
      </c>
      <c r="S301" t="s">
        <v>100</v>
      </c>
      <c r="T301">
        <v>4</v>
      </c>
      <c r="U301">
        <v>3</v>
      </c>
      <c r="V301" s="6">
        <v>345.5</v>
      </c>
      <c r="W301" s="6">
        <v>11426.47</v>
      </c>
      <c r="X301" t="s">
        <v>151</v>
      </c>
      <c r="Y301" s="7">
        <f t="shared" si="28"/>
        <v>2.9893238434163701E-2</v>
      </c>
      <c r="Z301" s="7">
        <f t="shared" si="29"/>
        <v>0.95516014234875446</v>
      </c>
      <c r="AA301">
        <f t="shared" si="30"/>
        <v>-17</v>
      </c>
      <c r="AB301" s="8">
        <f t="shared" si="31"/>
        <v>14511</v>
      </c>
      <c r="AC301">
        <f t="shared" si="32"/>
        <v>63.6</v>
      </c>
      <c r="AD301" t="str">
        <f t="shared" si="33"/>
        <v>Medium</v>
      </c>
      <c r="AE301" t="str">
        <f t="shared" si="34"/>
        <v>Yes</v>
      </c>
    </row>
    <row r="302" spans="1:31" x14ac:dyDescent="0.35">
      <c r="A302" t="s">
        <v>409</v>
      </c>
      <c r="B302" s="5">
        <v>46167</v>
      </c>
      <c r="C302" t="s">
        <v>364</v>
      </c>
      <c r="D302" t="s">
        <v>23</v>
      </c>
      <c r="E302" t="s">
        <v>78</v>
      </c>
      <c r="F302" t="s">
        <v>32</v>
      </c>
      <c r="G302" t="s">
        <v>79</v>
      </c>
      <c r="H302" t="s">
        <v>34</v>
      </c>
      <c r="I302" t="s">
        <v>45</v>
      </c>
      <c r="J302">
        <v>1501</v>
      </c>
      <c r="K302">
        <v>1389</v>
      </c>
      <c r="L302">
        <v>36</v>
      </c>
      <c r="M302">
        <v>16</v>
      </c>
      <c r="N302">
        <v>1267</v>
      </c>
      <c r="O302">
        <v>44.5</v>
      </c>
      <c r="P302">
        <v>4.5999999999999996</v>
      </c>
      <c r="Q302" t="s">
        <v>80</v>
      </c>
      <c r="R302" t="s">
        <v>81</v>
      </c>
      <c r="S302" t="s">
        <v>82</v>
      </c>
      <c r="T302">
        <v>4</v>
      </c>
      <c r="U302">
        <v>2</v>
      </c>
      <c r="V302" s="6">
        <v>382.62</v>
      </c>
      <c r="W302" s="6">
        <v>9500.93</v>
      </c>
      <c r="X302" t="s">
        <v>83</v>
      </c>
      <c r="Y302" s="7">
        <f t="shared" si="28"/>
        <v>2.591792656587473E-2</v>
      </c>
      <c r="Z302" s="7">
        <f t="shared" si="29"/>
        <v>0.91216702663786897</v>
      </c>
      <c r="AA302">
        <f t="shared" si="30"/>
        <v>112</v>
      </c>
      <c r="AB302" s="8">
        <f t="shared" si="31"/>
        <v>13774.32</v>
      </c>
      <c r="AC302">
        <f t="shared" si="32"/>
        <v>35.9</v>
      </c>
      <c r="AD302" t="str">
        <f t="shared" si="33"/>
        <v>Low</v>
      </c>
      <c r="AE302" t="str">
        <f t="shared" si="34"/>
        <v>No</v>
      </c>
    </row>
    <row r="303" spans="1:31" x14ac:dyDescent="0.35">
      <c r="A303" t="s">
        <v>410</v>
      </c>
      <c r="B303" s="5">
        <v>46167</v>
      </c>
      <c r="C303" t="s">
        <v>364</v>
      </c>
      <c r="D303" t="s">
        <v>23</v>
      </c>
      <c r="E303" t="s">
        <v>78</v>
      </c>
      <c r="F303" t="s">
        <v>29</v>
      </c>
      <c r="G303" t="s">
        <v>85</v>
      </c>
      <c r="H303" t="s">
        <v>34</v>
      </c>
      <c r="I303" t="s">
        <v>46</v>
      </c>
      <c r="J303">
        <v>815</v>
      </c>
      <c r="K303">
        <v>806</v>
      </c>
      <c r="L303">
        <v>13</v>
      </c>
      <c r="M303">
        <v>7</v>
      </c>
      <c r="N303">
        <v>775</v>
      </c>
      <c r="O303">
        <v>44.1</v>
      </c>
      <c r="P303">
        <v>5.8</v>
      </c>
      <c r="Q303" t="s">
        <v>80</v>
      </c>
      <c r="R303" t="s">
        <v>81</v>
      </c>
      <c r="S303" t="s">
        <v>82</v>
      </c>
      <c r="T303">
        <v>1</v>
      </c>
      <c r="U303">
        <v>2</v>
      </c>
      <c r="V303" s="6">
        <v>409.94</v>
      </c>
      <c r="W303" s="6">
        <v>2453.6999999999998</v>
      </c>
      <c r="X303" t="s">
        <v>121</v>
      </c>
      <c r="Y303" s="7">
        <f t="shared" si="28"/>
        <v>1.6129032258064516E-2</v>
      </c>
      <c r="Z303" s="7">
        <f t="shared" si="29"/>
        <v>0.96153846153846156</v>
      </c>
      <c r="AA303">
        <f t="shared" si="30"/>
        <v>9</v>
      </c>
      <c r="AB303" s="8">
        <f t="shared" si="31"/>
        <v>5329.22</v>
      </c>
      <c r="AC303">
        <f t="shared" si="32"/>
        <v>25.4</v>
      </c>
      <c r="AD303" t="str">
        <f t="shared" si="33"/>
        <v>Low</v>
      </c>
      <c r="AE303" t="str">
        <f t="shared" si="34"/>
        <v>No</v>
      </c>
    </row>
    <row r="304" spans="1:31" x14ac:dyDescent="0.35">
      <c r="A304" t="s">
        <v>411</v>
      </c>
      <c r="B304" s="5">
        <v>46167</v>
      </c>
      <c r="C304" t="s">
        <v>364</v>
      </c>
      <c r="D304" t="s">
        <v>20</v>
      </c>
      <c r="E304" t="s">
        <v>78</v>
      </c>
      <c r="F304" t="s">
        <v>30</v>
      </c>
      <c r="G304" t="s">
        <v>79</v>
      </c>
      <c r="H304" t="s">
        <v>37</v>
      </c>
      <c r="I304" t="s">
        <v>47</v>
      </c>
      <c r="J304">
        <v>1461</v>
      </c>
      <c r="K304">
        <v>1355</v>
      </c>
      <c r="L304">
        <v>5</v>
      </c>
      <c r="M304">
        <v>4</v>
      </c>
      <c r="N304">
        <v>1319</v>
      </c>
      <c r="O304">
        <v>29.4</v>
      </c>
      <c r="P304">
        <v>11.6</v>
      </c>
      <c r="Q304" t="s">
        <v>80</v>
      </c>
      <c r="R304" t="s">
        <v>81</v>
      </c>
      <c r="S304" t="s">
        <v>82</v>
      </c>
      <c r="T304">
        <v>1</v>
      </c>
      <c r="U304">
        <v>1</v>
      </c>
      <c r="V304" s="6">
        <v>231.18</v>
      </c>
      <c r="W304" s="6">
        <v>696.99</v>
      </c>
      <c r="X304" t="s">
        <v>94</v>
      </c>
      <c r="Y304" s="7">
        <f t="shared" si="28"/>
        <v>3.6900369003690036E-3</v>
      </c>
      <c r="Z304" s="7">
        <f t="shared" si="29"/>
        <v>0.9734317343173432</v>
      </c>
      <c r="AA304">
        <f t="shared" si="30"/>
        <v>106</v>
      </c>
      <c r="AB304" s="8">
        <f t="shared" si="31"/>
        <v>1155.9000000000001</v>
      </c>
      <c r="AC304">
        <f t="shared" si="32"/>
        <v>20</v>
      </c>
      <c r="AD304" t="str">
        <f t="shared" si="33"/>
        <v>Low</v>
      </c>
      <c r="AE304" t="str">
        <f t="shared" si="34"/>
        <v>No</v>
      </c>
    </row>
    <row r="305" spans="1:31" x14ac:dyDescent="0.35">
      <c r="A305" t="s">
        <v>412</v>
      </c>
      <c r="B305" s="5">
        <v>46167</v>
      </c>
      <c r="C305" t="s">
        <v>364</v>
      </c>
      <c r="D305" t="s">
        <v>20</v>
      </c>
      <c r="E305" t="s">
        <v>78</v>
      </c>
      <c r="F305" t="s">
        <v>31</v>
      </c>
      <c r="G305" t="s">
        <v>85</v>
      </c>
      <c r="H305" t="s">
        <v>34</v>
      </c>
      <c r="I305" t="s">
        <v>42</v>
      </c>
      <c r="J305">
        <v>1304</v>
      </c>
      <c r="K305">
        <v>1315</v>
      </c>
      <c r="L305">
        <v>18</v>
      </c>
      <c r="M305">
        <v>7</v>
      </c>
      <c r="N305">
        <v>1290</v>
      </c>
      <c r="O305">
        <v>34.5</v>
      </c>
      <c r="P305">
        <v>0.1</v>
      </c>
      <c r="Q305" t="s">
        <v>80</v>
      </c>
      <c r="R305" t="s">
        <v>81</v>
      </c>
      <c r="S305" t="s">
        <v>82</v>
      </c>
      <c r="T305">
        <v>8</v>
      </c>
      <c r="U305">
        <v>0</v>
      </c>
      <c r="V305" s="6">
        <v>368.24</v>
      </c>
      <c r="W305" s="6">
        <v>3105.61</v>
      </c>
      <c r="X305" t="s">
        <v>87</v>
      </c>
      <c r="Y305" s="7">
        <f t="shared" si="28"/>
        <v>1.3688212927756654E-2</v>
      </c>
      <c r="Z305" s="7">
        <f t="shared" si="29"/>
        <v>0.98098859315589348</v>
      </c>
      <c r="AA305">
        <f t="shared" si="30"/>
        <v>-11</v>
      </c>
      <c r="AB305" s="8">
        <f t="shared" si="31"/>
        <v>6628.32</v>
      </c>
      <c r="AC305">
        <f t="shared" si="32"/>
        <v>14.7</v>
      </c>
      <c r="AD305" t="str">
        <f t="shared" si="33"/>
        <v>Low</v>
      </c>
      <c r="AE305" t="str">
        <f t="shared" si="34"/>
        <v>No</v>
      </c>
    </row>
    <row r="306" spans="1:31" x14ac:dyDescent="0.35">
      <c r="A306" t="s">
        <v>413</v>
      </c>
      <c r="B306" s="5">
        <v>46167</v>
      </c>
      <c r="C306" t="s">
        <v>364</v>
      </c>
      <c r="D306" t="s">
        <v>22</v>
      </c>
      <c r="E306" t="s">
        <v>93</v>
      </c>
      <c r="F306" t="s">
        <v>30</v>
      </c>
      <c r="G306" t="s">
        <v>79</v>
      </c>
      <c r="H306" t="s">
        <v>37</v>
      </c>
      <c r="I306" t="s">
        <v>42</v>
      </c>
      <c r="J306">
        <v>900</v>
      </c>
      <c r="K306">
        <v>871</v>
      </c>
      <c r="L306">
        <v>16</v>
      </c>
      <c r="M306">
        <v>10</v>
      </c>
      <c r="N306">
        <v>828</v>
      </c>
      <c r="O306">
        <v>31</v>
      </c>
      <c r="P306">
        <v>8.6</v>
      </c>
      <c r="Q306" t="s">
        <v>86</v>
      </c>
      <c r="R306" t="s">
        <v>81</v>
      </c>
      <c r="S306" t="s">
        <v>82</v>
      </c>
      <c r="T306">
        <v>0</v>
      </c>
      <c r="U306">
        <v>0</v>
      </c>
      <c r="V306" s="6">
        <v>427.2</v>
      </c>
      <c r="W306" s="6">
        <v>4170.29</v>
      </c>
      <c r="X306" t="s">
        <v>83</v>
      </c>
      <c r="Y306" s="7">
        <f t="shared" si="28"/>
        <v>1.8369690011481057E-2</v>
      </c>
      <c r="Z306" s="7">
        <f t="shared" si="29"/>
        <v>0.95063145809414462</v>
      </c>
      <c r="AA306">
        <f t="shared" si="30"/>
        <v>29</v>
      </c>
      <c r="AB306" s="8">
        <f t="shared" si="31"/>
        <v>6835.2</v>
      </c>
      <c r="AC306">
        <f t="shared" si="32"/>
        <v>49.8</v>
      </c>
      <c r="AD306" t="str">
        <f t="shared" si="33"/>
        <v>Medium</v>
      </c>
      <c r="AE306" t="str">
        <f t="shared" si="34"/>
        <v>Yes</v>
      </c>
    </row>
    <row r="307" spans="1:31" x14ac:dyDescent="0.35">
      <c r="A307" t="s">
        <v>414</v>
      </c>
      <c r="B307" s="5">
        <v>46167</v>
      </c>
      <c r="C307" t="s">
        <v>364</v>
      </c>
      <c r="D307" t="s">
        <v>25</v>
      </c>
      <c r="E307" t="s">
        <v>89</v>
      </c>
      <c r="F307" t="s">
        <v>27</v>
      </c>
      <c r="G307" t="s">
        <v>85</v>
      </c>
      <c r="H307" t="s">
        <v>34</v>
      </c>
      <c r="I307" t="s">
        <v>48</v>
      </c>
      <c r="J307">
        <v>885</v>
      </c>
      <c r="K307">
        <v>833</v>
      </c>
      <c r="L307">
        <v>39</v>
      </c>
      <c r="M307">
        <v>23</v>
      </c>
      <c r="N307">
        <v>818</v>
      </c>
      <c r="O307">
        <v>59.7</v>
      </c>
      <c r="P307">
        <v>0.9</v>
      </c>
      <c r="Q307" t="s">
        <v>80</v>
      </c>
      <c r="R307" t="s">
        <v>81</v>
      </c>
      <c r="S307" t="s">
        <v>100</v>
      </c>
      <c r="T307">
        <v>5</v>
      </c>
      <c r="U307">
        <v>5</v>
      </c>
      <c r="V307" s="6">
        <v>224.77</v>
      </c>
      <c r="W307" s="6">
        <v>4657.82</v>
      </c>
      <c r="X307" t="s">
        <v>94</v>
      </c>
      <c r="Y307" s="7">
        <f t="shared" si="28"/>
        <v>4.6818727490996401E-2</v>
      </c>
      <c r="Z307" s="7">
        <f t="shared" si="29"/>
        <v>0.98199279711884757</v>
      </c>
      <c r="AA307">
        <f t="shared" si="30"/>
        <v>52</v>
      </c>
      <c r="AB307" s="8">
        <f t="shared" si="31"/>
        <v>8766.0300000000007</v>
      </c>
      <c r="AC307">
        <f t="shared" si="32"/>
        <v>48.8</v>
      </c>
      <c r="AD307" t="str">
        <f t="shared" si="33"/>
        <v>Medium</v>
      </c>
      <c r="AE307" t="str">
        <f t="shared" si="34"/>
        <v>No</v>
      </c>
    </row>
    <row r="308" spans="1:31" x14ac:dyDescent="0.35">
      <c r="A308" t="s">
        <v>415</v>
      </c>
      <c r="B308" s="5">
        <v>46167</v>
      </c>
      <c r="C308" t="s">
        <v>364</v>
      </c>
      <c r="D308" t="s">
        <v>24</v>
      </c>
      <c r="E308" t="s">
        <v>78</v>
      </c>
      <c r="F308" t="s">
        <v>32</v>
      </c>
      <c r="G308" t="s">
        <v>90</v>
      </c>
      <c r="H308" t="s">
        <v>40</v>
      </c>
      <c r="I308" t="s">
        <v>42</v>
      </c>
      <c r="J308">
        <v>991</v>
      </c>
      <c r="K308">
        <v>1040</v>
      </c>
      <c r="L308">
        <v>28</v>
      </c>
      <c r="M308">
        <v>15</v>
      </c>
      <c r="N308">
        <v>1019</v>
      </c>
      <c r="O308">
        <v>34</v>
      </c>
      <c r="P308">
        <v>9.1</v>
      </c>
      <c r="Q308" t="s">
        <v>80</v>
      </c>
      <c r="R308" t="s">
        <v>81</v>
      </c>
      <c r="S308" t="s">
        <v>82</v>
      </c>
      <c r="T308">
        <v>6</v>
      </c>
      <c r="U308">
        <v>0</v>
      </c>
      <c r="V308" s="6">
        <v>143.86000000000001</v>
      </c>
      <c r="W308" s="6">
        <v>2126.58</v>
      </c>
      <c r="X308" t="s">
        <v>121</v>
      </c>
      <c r="Y308" s="7">
        <f t="shared" si="28"/>
        <v>2.6923076923076925E-2</v>
      </c>
      <c r="Z308" s="7">
        <f t="shared" si="29"/>
        <v>0.97980769230769227</v>
      </c>
      <c r="AA308">
        <f t="shared" si="30"/>
        <v>-49</v>
      </c>
      <c r="AB308" s="8">
        <f t="shared" si="31"/>
        <v>4028.0800000000004</v>
      </c>
      <c r="AC308">
        <f t="shared" si="32"/>
        <v>39.700000000000003</v>
      </c>
      <c r="AD308" t="str">
        <f t="shared" si="33"/>
        <v>Low</v>
      </c>
      <c r="AE308" t="str">
        <f t="shared" si="34"/>
        <v>No</v>
      </c>
    </row>
    <row r="309" spans="1:31" x14ac:dyDescent="0.35">
      <c r="A309" t="s">
        <v>416</v>
      </c>
      <c r="B309" s="5">
        <v>46167</v>
      </c>
      <c r="C309" t="s">
        <v>364</v>
      </c>
      <c r="D309" t="s">
        <v>25</v>
      </c>
      <c r="E309" t="s">
        <v>89</v>
      </c>
      <c r="F309" t="s">
        <v>27</v>
      </c>
      <c r="G309" t="s">
        <v>85</v>
      </c>
      <c r="H309" t="s">
        <v>34</v>
      </c>
      <c r="I309" t="s">
        <v>44</v>
      </c>
      <c r="J309">
        <v>1135</v>
      </c>
      <c r="K309">
        <v>1112</v>
      </c>
      <c r="L309">
        <v>13</v>
      </c>
      <c r="M309">
        <v>10</v>
      </c>
      <c r="N309">
        <v>1037</v>
      </c>
      <c r="O309">
        <v>75.900000000000006</v>
      </c>
      <c r="P309">
        <v>3.8</v>
      </c>
      <c r="Q309" t="s">
        <v>80</v>
      </c>
      <c r="R309" t="s">
        <v>81</v>
      </c>
      <c r="S309" t="s">
        <v>82</v>
      </c>
      <c r="T309">
        <v>4</v>
      </c>
      <c r="U309">
        <v>0</v>
      </c>
      <c r="V309" s="6">
        <v>108.25</v>
      </c>
      <c r="W309" s="6">
        <v>369.15</v>
      </c>
      <c r="X309" t="s">
        <v>94</v>
      </c>
      <c r="Y309" s="7">
        <f t="shared" si="28"/>
        <v>1.1690647482014389E-2</v>
      </c>
      <c r="Z309" s="7">
        <f t="shared" si="29"/>
        <v>0.93255395683453235</v>
      </c>
      <c r="AA309">
        <f t="shared" si="30"/>
        <v>23</v>
      </c>
      <c r="AB309" s="8">
        <f t="shared" si="31"/>
        <v>1407.25</v>
      </c>
      <c r="AC309">
        <f t="shared" si="32"/>
        <v>19.7</v>
      </c>
      <c r="AD309" t="str">
        <f t="shared" si="33"/>
        <v>Low</v>
      </c>
      <c r="AE309" t="str">
        <f t="shared" si="34"/>
        <v>No</v>
      </c>
    </row>
    <row r="310" spans="1:31" x14ac:dyDescent="0.35">
      <c r="A310" t="s">
        <v>417</v>
      </c>
      <c r="B310" s="5">
        <v>46167</v>
      </c>
      <c r="C310" t="s">
        <v>364</v>
      </c>
      <c r="D310" t="s">
        <v>20</v>
      </c>
      <c r="E310" t="s">
        <v>78</v>
      </c>
      <c r="F310" t="s">
        <v>32</v>
      </c>
      <c r="G310" t="s">
        <v>79</v>
      </c>
      <c r="H310" t="s">
        <v>34</v>
      </c>
      <c r="I310" t="s">
        <v>46</v>
      </c>
      <c r="J310">
        <v>1070</v>
      </c>
      <c r="K310">
        <v>1068</v>
      </c>
      <c r="L310">
        <v>14</v>
      </c>
      <c r="M310">
        <v>5</v>
      </c>
      <c r="N310">
        <v>1059</v>
      </c>
      <c r="O310">
        <v>71.5</v>
      </c>
      <c r="P310">
        <v>6.1</v>
      </c>
      <c r="Q310" t="s">
        <v>86</v>
      </c>
      <c r="R310" t="s">
        <v>81</v>
      </c>
      <c r="S310" t="s">
        <v>82</v>
      </c>
      <c r="T310">
        <v>4</v>
      </c>
      <c r="U310">
        <v>3</v>
      </c>
      <c r="V310" s="6">
        <v>281.13</v>
      </c>
      <c r="W310" s="6">
        <v>1677.79</v>
      </c>
      <c r="X310" t="s">
        <v>110</v>
      </c>
      <c r="Y310" s="7">
        <f t="shared" si="28"/>
        <v>1.3108614232209739E-2</v>
      </c>
      <c r="Z310" s="7">
        <f t="shared" si="29"/>
        <v>0.9915730337078652</v>
      </c>
      <c r="AA310">
        <f t="shared" si="30"/>
        <v>2</v>
      </c>
      <c r="AB310" s="8">
        <f t="shared" si="31"/>
        <v>3935.8199999999997</v>
      </c>
      <c r="AC310">
        <f t="shared" si="32"/>
        <v>39.4</v>
      </c>
      <c r="AD310" t="str">
        <f t="shared" si="33"/>
        <v>Low</v>
      </c>
      <c r="AE310" t="str">
        <f t="shared" si="34"/>
        <v>Yes</v>
      </c>
    </row>
    <row r="311" spans="1:31" x14ac:dyDescent="0.35">
      <c r="A311" t="s">
        <v>418</v>
      </c>
      <c r="B311" s="5">
        <v>46167</v>
      </c>
      <c r="C311" t="s">
        <v>364</v>
      </c>
      <c r="D311" t="s">
        <v>24</v>
      </c>
      <c r="E311" t="s">
        <v>78</v>
      </c>
      <c r="F311" t="s">
        <v>32</v>
      </c>
      <c r="G311" t="s">
        <v>79</v>
      </c>
      <c r="H311" t="s">
        <v>36</v>
      </c>
      <c r="I311" t="s">
        <v>48</v>
      </c>
      <c r="J311">
        <v>1270</v>
      </c>
      <c r="K311">
        <v>1235</v>
      </c>
      <c r="L311">
        <v>32</v>
      </c>
      <c r="M311">
        <v>15</v>
      </c>
      <c r="N311">
        <v>1169</v>
      </c>
      <c r="O311">
        <v>75.7</v>
      </c>
      <c r="P311">
        <v>8</v>
      </c>
      <c r="Q311" t="s">
        <v>86</v>
      </c>
      <c r="R311" t="s">
        <v>81</v>
      </c>
      <c r="S311" t="s">
        <v>82</v>
      </c>
      <c r="T311">
        <v>10</v>
      </c>
      <c r="U311">
        <v>3</v>
      </c>
      <c r="V311" s="6">
        <v>410.49</v>
      </c>
      <c r="W311" s="6">
        <v>7124.64</v>
      </c>
      <c r="X311" t="s">
        <v>87</v>
      </c>
      <c r="Y311" s="7">
        <f t="shared" si="28"/>
        <v>2.5910931174089068E-2</v>
      </c>
      <c r="Z311" s="7">
        <f t="shared" si="29"/>
        <v>0.94655870445344126</v>
      </c>
      <c r="AA311">
        <f t="shared" si="30"/>
        <v>35</v>
      </c>
      <c r="AB311" s="8">
        <f t="shared" si="31"/>
        <v>13135.68</v>
      </c>
      <c r="AC311">
        <f t="shared" si="32"/>
        <v>56.7</v>
      </c>
      <c r="AD311" t="str">
        <f t="shared" si="33"/>
        <v>Medium</v>
      </c>
      <c r="AE311" t="str">
        <f t="shared" si="34"/>
        <v>Yes</v>
      </c>
    </row>
    <row r="312" spans="1:31" x14ac:dyDescent="0.35">
      <c r="A312" t="s">
        <v>419</v>
      </c>
      <c r="B312" s="5">
        <v>46167</v>
      </c>
      <c r="C312" t="s">
        <v>364</v>
      </c>
      <c r="D312" t="s">
        <v>20</v>
      </c>
      <c r="E312" t="s">
        <v>78</v>
      </c>
      <c r="F312" t="s">
        <v>32</v>
      </c>
      <c r="G312" t="s">
        <v>90</v>
      </c>
      <c r="H312" t="s">
        <v>34</v>
      </c>
      <c r="I312" t="s">
        <v>44</v>
      </c>
      <c r="J312">
        <v>880</v>
      </c>
      <c r="K312">
        <v>850</v>
      </c>
      <c r="L312">
        <v>27</v>
      </c>
      <c r="M312">
        <v>11</v>
      </c>
      <c r="N312">
        <v>830</v>
      </c>
      <c r="O312">
        <v>56.9</v>
      </c>
      <c r="P312">
        <v>11.4</v>
      </c>
      <c r="Q312" t="s">
        <v>80</v>
      </c>
      <c r="R312" t="s">
        <v>81</v>
      </c>
      <c r="S312" t="s">
        <v>82</v>
      </c>
      <c r="T312">
        <v>5</v>
      </c>
      <c r="U312">
        <v>3</v>
      </c>
      <c r="V312" s="6">
        <v>217.86</v>
      </c>
      <c r="W312" s="6">
        <v>2497.4299999999998</v>
      </c>
      <c r="X312" t="s">
        <v>110</v>
      </c>
      <c r="Y312" s="7">
        <f t="shared" si="28"/>
        <v>3.1764705882352938E-2</v>
      </c>
      <c r="Z312" s="7">
        <f t="shared" si="29"/>
        <v>0.97647058823529409</v>
      </c>
      <c r="AA312">
        <f t="shared" si="30"/>
        <v>30</v>
      </c>
      <c r="AB312" s="8">
        <f t="shared" si="31"/>
        <v>5882.22</v>
      </c>
      <c r="AC312">
        <f t="shared" si="32"/>
        <v>47.6</v>
      </c>
      <c r="AD312" t="str">
        <f t="shared" si="33"/>
        <v>Medium</v>
      </c>
      <c r="AE312" t="str">
        <f t="shared" si="34"/>
        <v>No</v>
      </c>
    </row>
    <row r="313" spans="1:31" x14ac:dyDescent="0.35">
      <c r="A313" t="s">
        <v>420</v>
      </c>
      <c r="B313" s="5">
        <v>46167</v>
      </c>
      <c r="C313" t="s">
        <v>364</v>
      </c>
      <c r="D313" t="s">
        <v>22</v>
      </c>
      <c r="E313" t="s">
        <v>93</v>
      </c>
      <c r="F313" t="s">
        <v>29</v>
      </c>
      <c r="G313" t="s">
        <v>85</v>
      </c>
      <c r="H313" t="s">
        <v>39</v>
      </c>
      <c r="I313" t="s">
        <v>46</v>
      </c>
      <c r="J313">
        <v>1277</v>
      </c>
      <c r="K313">
        <v>1213</v>
      </c>
      <c r="L313">
        <v>20</v>
      </c>
      <c r="M313">
        <v>9</v>
      </c>
      <c r="N313">
        <v>1137</v>
      </c>
      <c r="O313">
        <v>29.6</v>
      </c>
      <c r="P313">
        <v>13.7</v>
      </c>
      <c r="Q313" t="s">
        <v>80</v>
      </c>
      <c r="R313" t="s">
        <v>81</v>
      </c>
      <c r="S313" t="s">
        <v>82</v>
      </c>
      <c r="T313">
        <v>4</v>
      </c>
      <c r="U313">
        <v>0</v>
      </c>
      <c r="V313" s="6">
        <v>86.87</v>
      </c>
      <c r="W313" s="6">
        <v>459.54</v>
      </c>
      <c r="X313" t="s">
        <v>87</v>
      </c>
      <c r="Y313" s="7">
        <f t="shared" si="28"/>
        <v>1.6488046166529265E-2</v>
      </c>
      <c r="Z313" s="7">
        <f t="shared" si="29"/>
        <v>0.93734542456718883</v>
      </c>
      <c r="AA313">
        <f t="shared" si="30"/>
        <v>64</v>
      </c>
      <c r="AB313" s="8">
        <f t="shared" si="31"/>
        <v>1737.4</v>
      </c>
      <c r="AC313">
        <f t="shared" si="32"/>
        <v>37.1</v>
      </c>
      <c r="AD313" t="str">
        <f t="shared" si="33"/>
        <v>Low</v>
      </c>
      <c r="AE313" t="str">
        <f t="shared" si="34"/>
        <v>No</v>
      </c>
    </row>
    <row r="314" spans="1:31" x14ac:dyDescent="0.35">
      <c r="A314" t="s">
        <v>421</v>
      </c>
      <c r="B314" s="5">
        <v>46167</v>
      </c>
      <c r="C314" t="s">
        <v>364</v>
      </c>
      <c r="D314" t="s">
        <v>22</v>
      </c>
      <c r="E314" t="s">
        <v>93</v>
      </c>
      <c r="F314" t="s">
        <v>31</v>
      </c>
      <c r="G314" t="s">
        <v>85</v>
      </c>
      <c r="H314" t="s">
        <v>38</v>
      </c>
      <c r="I314" t="s">
        <v>42</v>
      </c>
      <c r="J314">
        <v>888</v>
      </c>
      <c r="K314">
        <v>795</v>
      </c>
      <c r="L314">
        <v>19</v>
      </c>
      <c r="M314">
        <v>7</v>
      </c>
      <c r="N314">
        <v>760</v>
      </c>
      <c r="O314">
        <v>46.9</v>
      </c>
      <c r="P314">
        <v>4</v>
      </c>
      <c r="Q314" t="s">
        <v>80</v>
      </c>
      <c r="R314" t="s">
        <v>81</v>
      </c>
      <c r="S314" t="s">
        <v>82</v>
      </c>
      <c r="T314">
        <v>0</v>
      </c>
      <c r="U314">
        <v>4</v>
      </c>
      <c r="V314" s="6">
        <v>189.3</v>
      </c>
      <c r="W314" s="6">
        <v>2142.86</v>
      </c>
      <c r="X314" t="s">
        <v>115</v>
      </c>
      <c r="Y314" s="7">
        <f t="shared" si="28"/>
        <v>2.3899371069182392E-2</v>
      </c>
      <c r="Z314" s="7">
        <f t="shared" si="29"/>
        <v>0.95597484276729561</v>
      </c>
      <c r="AA314">
        <f t="shared" si="30"/>
        <v>93</v>
      </c>
      <c r="AB314" s="8">
        <f t="shared" si="31"/>
        <v>3596.7000000000003</v>
      </c>
      <c r="AC314">
        <f t="shared" si="32"/>
        <v>31.1</v>
      </c>
      <c r="AD314" t="str">
        <f t="shared" si="33"/>
        <v>Low</v>
      </c>
      <c r="AE314" t="str">
        <f t="shared" si="34"/>
        <v>No</v>
      </c>
    </row>
    <row r="315" spans="1:31" x14ac:dyDescent="0.35">
      <c r="A315" t="s">
        <v>422</v>
      </c>
      <c r="B315" s="5">
        <v>46167</v>
      </c>
      <c r="C315" t="s">
        <v>364</v>
      </c>
      <c r="D315" t="s">
        <v>22</v>
      </c>
      <c r="E315" t="s">
        <v>93</v>
      </c>
      <c r="F315" t="s">
        <v>27</v>
      </c>
      <c r="G315" t="s">
        <v>90</v>
      </c>
      <c r="H315" t="s">
        <v>37</v>
      </c>
      <c r="I315" t="s">
        <v>45</v>
      </c>
      <c r="J315">
        <v>1433</v>
      </c>
      <c r="K315">
        <v>1398</v>
      </c>
      <c r="L315">
        <v>47</v>
      </c>
      <c r="M315">
        <v>37</v>
      </c>
      <c r="N315">
        <v>1266</v>
      </c>
      <c r="O315">
        <v>25.6</v>
      </c>
      <c r="P315">
        <v>10.8</v>
      </c>
      <c r="Q315" t="s">
        <v>80</v>
      </c>
      <c r="R315" t="s">
        <v>81</v>
      </c>
      <c r="S315" t="s">
        <v>82</v>
      </c>
      <c r="T315">
        <v>8</v>
      </c>
      <c r="U315">
        <v>7</v>
      </c>
      <c r="V315" s="6">
        <v>168.21</v>
      </c>
      <c r="W315" s="6">
        <v>4039.17</v>
      </c>
      <c r="X315" t="s">
        <v>94</v>
      </c>
      <c r="Y315" s="7">
        <f t="shared" si="28"/>
        <v>3.3619456366237484E-2</v>
      </c>
      <c r="Z315" s="7">
        <f t="shared" si="29"/>
        <v>0.90557939914163088</v>
      </c>
      <c r="AA315">
        <f t="shared" si="30"/>
        <v>35</v>
      </c>
      <c r="AB315" s="8">
        <f t="shared" si="31"/>
        <v>7905.8700000000008</v>
      </c>
      <c r="AC315">
        <f t="shared" si="32"/>
        <v>51.9</v>
      </c>
      <c r="AD315" t="str">
        <f t="shared" si="33"/>
        <v>Medium</v>
      </c>
      <c r="AE315" t="str">
        <f t="shared" si="34"/>
        <v>No</v>
      </c>
    </row>
    <row r="316" spans="1:31" x14ac:dyDescent="0.35">
      <c r="A316" t="s">
        <v>423</v>
      </c>
      <c r="B316" s="5">
        <v>46167</v>
      </c>
      <c r="C316" t="s">
        <v>364</v>
      </c>
      <c r="D316" t="s">
        <v>20</v>
      </c>
      <c r="E316" t="s">
        <v>78</v>
      </c>
      <c r="F316" t="s">
        <v>27</v>
      </c>
      <c r="G316" t="s">
        <v>90</v>
      </c>
      <c r="H316" t="s">
        <v>40</v>
      </c>
      <c r="I316" t="s">
        <v>44</v>
      </c>
      <c r="J316">
        <v>1345</v>
      </c>
      <c r="K316">
        <v>1426</v>
      </c>
      <c r="L316">
        <v>23</v>
      </c>
      <c r="M316">
        <v>14</v>
      </c>
      <c r="N316">
        <v>1418</v>
      </c>
      <c r="O316">
        <v>27.8</v>
      </c>
      <c r="P316">
        <v>12.9</v>
      </c>
      <c r="Q316" t="s">
        <v>86</v>
      </c>
      <c r="R316" t="s">
        <v>81</v>
      </c>
      <c r="S316" t="s">
        <v>138</v>
      </c>
      <c r="T316">
        <v>4</v>
      </c>
      <c r="U316">
        <v>5</v>
      </c>
      <c r="V316" s="6">
        <v>316.87</v>
      </c>
      <c r="W316" s="6">
        <v>3479.5</v>
      </c>
      <c r="X316" t="s">
        <v>94</v>
      </c>
      <c r="Y316" s="7">
        <f t="shared" si="28"/>
        <v>1.6129032258064516E-2</v>
      </c>
      <c r="Z316" s="7">
        <f t="shared" si="29"/>
        <v>0.99438990182328191</v>
      </c>
      <c r="AA316">
        <f t="shared" si="30"/>
        <v>-81</v>
      </c>
      <c r="AB316" s="8">
        <f t="shared" si="31"/>
        <v>7288.01</v>
      </c>
      <c r="AC316">
        <f t="shared" si="32"/>
        <v>63.2</v>
      </c>
      <c r="AD316" t="str">
        <f t="shared" si="33"/>
        <v>Medium</v>
      </c>
      <c r="AE316" t="str">
        <f t="shared" si="34"/>
        <v>Yes</v>
      </c>
    </row>
    <row r="317" spans="1:31" x14ac:dyDescent="0.35">
      <c r="A317" t="s">
        <v>424</v>
      </c>
      <c r="B317" s="5">
        <v>46174</v>
      </c>
      <c r="C317" t="s">
        <v>425</v>
      </c>
      <c r="D317" t="s">
        <v>23</v>
      </c>
      <c r="E317" t="s">
        <v>78</v>
      </c>
      <c r="F317" t="s">
        <v>30</v>
      </c>
      <c r="G317" t="s">
        <v>85</v>
      </c>
      <c r="H317" t="s">
        <v>40</v>
      </c>
      <c r="I317" t="s">
        <v>46</v>
      </c>
      <c r="J317">
        <v>1416</v>
      </c>
      <c r="K317">
        <v>1312</v>
      </c>
      <c r="L317">
        <v>32</v>
      </c>
      <c r="M317">
        <v>15</v>
      </c>
      <c r="N317">
        <v>1249</v>
      </c>
      <c r="O317">
        <v>32.799999999999997</v>
      </c>
      <c r="P317">
        <v>10.9</v>
      </c>
      <c r="Q317" t="s">
        <v>80</v>
      </c>
      <c r="R317" t="s">
        <v>81</v>
      </c>
      <c r="S317" t="s">
        <v>82</v>
      </c>
      <c r="T317">
        <v>7</v>
      </c>
      <c r="U317">
        <v>4</v>
      </c>
      <c r="V317" s="6">
        <v>445.28</v>
      </c>
      <c r="W317" s="6">
        <v>5081.54</v>
      </c>
      <c r="X317" t="s">
        <v>83</v>
      </c>
      <c r="Y317" s="7">
        <f t="shared" si="28"/>
        <v>2.4390243902439025E-2</v>
      </c>
      <c r="Z317" s="7">
        <f t="shared" si="29"/>
        <v>0.95198170731707321</v>
      </c>
      <c r="AA317">
        <f t="shared" si="30"/>
        <v>104</v>
      </c>
      <c r="AB317" s="8">
        <f t="shared" si="31"/>
        <v>14248.96</v>
      </c>
      <c r="AC317">
        <f t="shared" si="32"/>
        <v>40.700000000000003</v>
      </c>
      <c r="AD317" t="str">
        <f t="shared" si="33"/>
        <v>Medium</v>
      </c>
      <c r="AE317" t="str">
        <f t="shared" si="34"/>
        <v>No</v>
      </c>
    </row>
    <row r="318" spans="1:31" x14ac:dyDescent="0.35">
      <c r="A318" t="s">
        <v>426</v>
      </c>
      <c r="B318" s="5">
        <v>46174</v>
      </c>
      <c r="C318" t="s">
        <v>425</v>
      </c>
      <c r="D318" t="s">
        <v>22</v>
      </c>
      <c r="E318" t="s">
        <v>93</v>
      </c>
      <c r="F318" t="s">
        <v>29</v>
      </c>
      <c r="G318" t="s">
        <v>85</v>
      </c>
      <c r="H318" t="s">
        <v>34</v>
      </c>
      <c r="I318" t="s">
        <v>42</v>
      </c>
      <c r="J318">
        <v>1079</v>
      </c>
      <c r="K318">
        <v>1011</v>
      </c>
      <c r="L318">
        <v>36</v>
      </c>
      <c r="M318">
        <v>13</v>
      </c>
      <c r="N318">
        <v>976</v>
      </c>
      <c r="O318">
        <v>71.5</v>
      </c>
      <c r="P318">
        <v>4.3</v>
      </c>
      <c r="Q318" t="s">
        <v>80</v>
      </c>
      <c r="R318" t="s">
        <v>99</v>
      </c>
      <c r="S318" t="s">
        <v>82</v>
      </c>
      <c r="T318">
        <v>2</v>
      </c>
      <c r="U318">
        <v>3</v>
      </c>
      <c r="V318" s="6">
        <v>440.49</v>
      </c>
      <c r="W318" s="6">
        <v>6400.67</v>
      </c>
      <c r="X318" t="s">
        <v>94</v>
      </c>
      <c r="Y318" s="7">
        <f t="shared" si="28"/>
        <v>3.5608308605341248E-2</v>
      </c>
      <c r="Z318" s="7">
        <f t="shared" si="29"/>
        <v>0.96538081107814044</v>
      </c>
      <c r="AA318">
        <f t="shared" si="30"/>
        <v>68</v>
      </c>
      <c r="AB318" s="8">
        <f t="shared" si="31"/>
        <v>15857.64</v>
      </c>
      <c r="AC318">
        <f t="shared" si="32"/>
        <v>62.8</v>
      </c>
      <c r="AD318" t="str">
        <f t="shared" si="33"/>
        <v>Medium</v>
      </c>
      <c r="AE318" t="str">
        <f t="shared" si="34"/>
        <v>Yes</v>
      </c>
    </row>
    <row r="319" spans="1:31" x14ac:dyDescent="0.35">
      <c r="A319" t="s">
        <v>427</v>
      </c>
      <c r="B319" s="5">
        <v>46174</v>
      </c>
      <c r="C319" t="s">
        <v>425</v>
      </c>
      <c r="D319" t="s">
        <v>23</v>
      </c>
      <c r="E319" t="s">
        <v>78</v>
      </c>
      <c r="F319" t="s">
        <v>27</v>
      </c>
      <c r="G319" t="s">
        <v>79</v>
      </c>
      <c r="H319" t="s">
        <v>428</v>
      </c>
      <c r="I319" t="s">
        <v>44</v>
      </c>
      <c r="J319">
        <v>922</v>
      </c>
      <c r="K319">
        <v>844</v>
      </c>
      <c r="L319">
        <v>6</v>
      </c>
      <c r="M319">
        <v>3</v>
      </c>
      <c r="N319">
        <v>835</v>
      </c>
      <c r="O319">
        <v>52</v>
      </c>
      <c r="P319">
        <v>8.1999999999999993</v>
      </c>
      <c r="Q319" t="s">
        <v>96</v>
      </c>
      <c r="R319" t="s">
        <v>81</v>
      </c>
      <c r="S319" t="s">
        <v>82</v>
      </c>
      <c r="T319">
        <v>0</v>
      </c>
      <c r="U319">
        <v>0</v>
      </c>
      <c r="V319" s="6">
        <v>329.13</v>
      </c>
      <c r="W319" s="6">
        <v>770.39</v>
      </c>
      <c r="X319" t="s">
        <v>87</v>
      </c>
      <c r="Y319" s="7">
        <f t="shared" si="28"/>
        <v>7.1090047393364926E-3</v>
      </c>
      <c r="Z319" s="7">
        <f t="shared" si="29"/>
        <v>0.98933649289099523</v>
      </c>
      <c r="AA319">
        <f t="shared" si="30"/>
        <v>78</v>
      </c>
      <c r="AB319" s="8">
        <f t="shared" si="31"/>
        <v>1974.78</v>
      </c>
      <c r="AC319">
        <f t="shared" si="32"/>
        <v>28.2</v>
      </c>
      <c r="AD319" t="str">
        <f t="shared" si="33"/>
        <v>Low</v>
      </c>
      <c r="AE319" t="str">
        <f t="shared" si="34"/>
        <v>No</v>
      </c>
    </row>
    <row r="320" spans="1:31" x14ac:dyDescent="0.35">
      <c r="A320" t="s">
        <v>429</v>
      </c>
      <c r="B320" s="5">
        <v>46174</v>
      </c>
      <c r="C320" t="s">
        <v>425</v>
      </c>
      <c r="D320" t="s">
        <v>23</v>
      </c>
      <c r="E320" t="s">
        <v>78</v>
      </c>
      <c r="F320" t="s">
        <v>32</v>
      </c>
      <c r="G320" t="s">
        <v>79</v>
      </c>
      <c r="H320" t="s">
        <v>40</v>
      </c>
      <c r="I320" t="s">
        <v>44</v>
      </c>
      <c r="J320">
        <v>1095</v>
      </c>
      <c r="K320">
        <v>1020</v>
      </c>
      <c r="L320">
        <v>10</v>
      </c>
      <c r="M320">
        <v>6</v>
      </c>
      <c r="N320">
        <v>1003</v>
      </c>
      <c r="O320">
        <v>38.4</v>
      </c>
      <c r="P320">
        <v>0.9</v>
      </c>
      <c r="Q320" t="s">
        <v>96</v>
      </c>
      <c r="R320" t="s">
        <v>81</v>
      </c>
      <c r="S320" t="s">
        <v>82</v>
      </c>
      <c r="T320">
        <v>3</v>
      </c>
      <c r="U320">
        <v>2</v>
      </c>
      <c r="V320" s="6">
        <v>318.35000000000002</v>
      </c>
      <c r="W320" s="6">
        <v>2141.2399999999998</v>
      </c>
      <c r="X320" t="s">
        <v>83</v>
      </c>
      <c r="Y320" s="7">
        <f t="shared" si="28"/>
        <v>9.8039215686274508E-3</v>
      </c>
      <c r="Z320" s="7">
        <f t="shared" si="29"/>
        <v>0.98333333333333328</v>
      </c>
      <c r="AA320">
        <f t="shared" si="30"/>
        <v>75</v>
      </c>
      <c r="AB320" s="8">
        <f t="shared" si="31"/>
        <v>3183.5</v>
      </c>
      <c r="AC320">
        <f t="shared" si="32"/>
        <v>21.7</v>
      </c>
      <c r="AD320" t="str">
        <f t="shared" si="33"/>
        <v>Low</v>
      </c>
      <c r="AE320" t="str">
        <f t="shared" si="34"/>
        <v>No</v>
      </c>
    </row>
    <row r="321" spans="1:31" x14ac:dyDescent="0.35">
      <c r="A321" t="s">
        <v>430</v>
      </c>
      <c r="B321" s="5">
        <v>46174</v>
      </c>
      <c r="C321" t="s">
        <v>425</v>
      </c>
      <c r="D321" t="s">
        <v>22</v>
      </c>
      <c r="E321" t="s">
        <v>93</v>
      </c>
      <c r="F321" t="s">
        <v>30</v>
      </c>
      <c r="G321" t="s">
        <v>85</v>
      </c>
      <c r="H321" t="s">
        <v>38</v>
      </c>
      <c r="I321" t="s">
        <v>44</v>
      </c>
      <c r="J321">
        <v>1296</v>
      </c>
      <c r="K321">
        <v>1246</v>
      </c>
      <c r="L321">
        <v>40</v>
      </c>
      <c r="M321">
        <v>29</v>
      </c>
      <c r="N321">
        <v>1165</v>
      </c>
      <c r="O321">
        <v>58.2</v>
      </c>
      <c r="P321">
        <v>12.1</v>
      </c>
      <c r="Q321" t="s">
        <v>80</v>
      </c>
      <c r="R321" t="s">
        <v>81</v>
      </c>
      <c r="S321" t="s">
        <v>82</v>
      </c>
      <c r="T321">
        <v>2</v>
      </c>
      <c r="U321">
        <v>6</v>
      </c>
      <c r="V321" s="6">
        <v>99.63</v>
      </c>
      <c r="W321" s="6">
        <v>1703.68</v>
      </c>
      <c r="X321" t="s">
        <v>121</v>
      </c>
      <c r="Y321" s="7">
        <f t="shared" si="28"/>
        <v>3.2102728731942212E-2</v>
      </c>
      <c r="Z321" s="7">
        <f t="shared" si="29"/>
        <v>0.934991974317817</v>
      </c>
      <c r="AA321">
        <f t="shared" si="30"/>
        <v>50</v>
      </c>
      <c r="AB321" s="8">
        <f t="shared" si="31"/>
        <v>3985.2</v>
      </c>
      <c r="AC321">
        <f t="shared" si="32"/>
        <v>50.8</v>
      </c>
      <c r="AD321" t="str">
        <f t="shared" si="33"/>
        <v>Medium</v>
      </c>
      <c r="AE321" t="str">
        <f t="shared" si="34"/>
        <v>No</v>
      </c>
    </row>
    <row r="322" spans="1:31" x14ac:dyDescent="0.35">
      <c r="A322" t="s">
        <v>431</v>
      </c>
      <c r="B322" s="5">
        <v>46174</v>
      </c>
      <c r="C322" t="s">
        <v>425</v>
      </c>
      <c r="D322" t="s">
        <v>22</v>
      </c>
      <c r="E322" t="s">
        <v>93</v>
      </c>
      <c r="F322" t="s">
        <v>30</v>
      </c>
      <c r="G322" t="s">
        <v>85</v>
      </c>
      <c r="H322" t="s">
        <v>38</v>
      </c>
      <c r="I322" t="s">
        <v>44</v>
      </c>
      <c r="J322">
        <v>901</v>
      </c>
      <c r="K322">
        <v>832</v>
      </c>
      <c r="L322">
        <v>17</v>
      </c>
      <c r="M322">
        <v>6</v>
      </c>
      <c r="N322">
        <v>749</v>
      </c>
      <c r="O322">
        <v>34.1</v>
      </c>
      <c r="P322">
        <v>7.6</v>
      </c>
      <c r="Q322" t="s">
        <v>80</v>
      </c>
      <c r="R322" t="s">
        <v>81</v>
      </c>
      <c r="S322" t="s">
        <v>82</v>
      </c>
      <c r="T322">
        <v>1</v>
      </c>
      <c r="U322">
        <v>1</v>
      </c>
      <c r="V322" s="6">
        <v>136.87</v>
      </c>
      <c r="W322" s="6">
        <v>1104.8499999999999</v>
      </c>
      <c r="X322" t="s">
        <v>87</v>
      </c>
      <c r="Y322" s="7">
        <f t="shared" ref="Y322:Y385" si="35">IFERROR(L322/K322,0)</f>
        <v>2.0432692307692308E-2</v>
      </c>
      <c r="Z322" s="7">
        <f t="shared" ref="Z322:Z385" si="36">IFERROR(N322/K322,0)</f>
        <v>0.90024038461538458</v>
      </c>
      <c r="AA322">
        <f t="shared" ref="AA322:AA385" si="37">J322-K322</f>
        <v>69</v>
      </c>
      <c r="AB322" s="8">
        <f t="shared" ref="AB322:AB385" si="38">L322*V322</f>
        <v>2326.79</v>
      </c>
      <c r="AC322">
        <f t="shared" ref="AC322:AC385" si="39">ROUND(MIN(100,(Y322*1000)+(1-Z322)*45+(P322*1.3)+IF(Q322="Late",18,IF(Q322="Pending",10,0))+IF(R322="Yes",20,0)+IF(S322="Decision Required",12,0)),1)</f>
        <v>34.799999999999997</v>
      </c>
      <c r="AD322" t="str">
        <f t="shared" ref="AD322:AD385" si="40">IF(AC322&gt;=65,"High",IF(AC322&gt;=40,"Medium","Low"))</f>
        <v>Low</v>
      </c>
      <c r="AE322" t="str">
        <f t="shared" ref="AE322:AE385" si="41">IF(OR(AD322="High",Q322="Late",R322="Yes",S322="Decision Required"),"Yes","No")</f>
        <v>No</v>
      </c>
    </row>
    <row r="323" spans="1:31" x14ac:dyDescent="0.35">
      <c r="A323" t="s">
        <v>432</v>
      </c>
      <c r="B323" s="5">
        <v>46174</v>
      </c>
      <c r="C323" t="s">
        <v>425</v>
      </c>
      <c r="D323" t="s">
        <v>24</v>
      </c>
      <c r="E323" t="s">
        <v>78</v>
      </c>
      <c r="F323" t="s">
        <v>31</v>
      </c>
      <c r="G323" t="s">
        <v>85</v>
      </c>
      <c r="H323" t="s">
        <v>39</v>
      </c>
      <c r="I323" t="s">
        <v>48</v>
      </c>
      <c r="J323">
        <v>919</v>
      </c>
      <c r="K323">
        <v>948</v>
      </c>
      <c r="L323">
        <v>21</v>
      </c>
      <c r="M323">
        <v>8</v>
      </c>
      <c r="N323">
        <v>839</v>
      </c>
      <c r="O323">
        <v>73.7</v>
      </c>
      <c r="P323">
        <v>9.1999999999999993</v>
      </c>
      <c r="Q323" t="s">
        <v>80</v>
      </c>
      <c r="R323" t="s">
        <v>81</v>
      </c>
      <c r="S323" t="s">
        <v>138</v>
      </c>
      <c r="T323">
        <v>4</v>
      </c>
      <c r="U323">
        <v>4</v>
      </c>
      <c r="V323" s="6">
        <v>361.48</v>
      </c>
      <c r="W323" s="6">
        <v>5411.72</v>
      </c>
      <c r="X323" t="s">
        <v>121</v>
      </c>
      <c r="Y323" s="7">
        <f t="shared" si="35"/>
        <v>2.2151898734177215E-2</v>
      </c>
      <c r="Z323" s="7">
        <f t="shared" si="36"/>
        <v>0.88502109704641352</v>
      </c>
      <c r="AA323">
        <f t="shared" si="37"/>
        <v>-29</v>
      </c>
      <c r="AB323" s="8">
        <f t="shared" si="38"/>
        <v>7591.08</v>
      </c>
      <c r="AC323">
        <f t="shared" si="39"/>
        <v>51.3</v>
      </c>
      <c r="AD323" t="str">
        <f t="shared" si="40"/>
        <v>Medium</v>
      </c>
      <c r="AE323" t="str">
        <f t="shared" si="41"/>
        <v>Yes</v>
      </c>
    </row>
    <row r="324" spans="1:31" x14ac:dyDescent="0.35">
      <c r="A324" t="s">
        <v>433</v>
      </c>
      <c r="B324" s="5">
        <v>46174</v>
      </c>
      <c r="C324" t="s">
        <v>425</v>
      </c>
      <c r="D324" t="s">
        <v>23</v>
      </c>
      <c r="E324" t="s">
        <v>78</v>
      </c>
      <c r="F324" t="s">
        <v>27</v>
      </c>
      <c r="G324" t="s">
        <v>90</v>
      </c>
      <c r="H324" t="s">
        <v>36</v>
      </c>
      <c r="I324" t="s">
        <v>48</v>
      </c>
      <c r="J324">
        <v>1031</v>
      </c>
      <c r="K324">
        <v>1015</v>
      </c>
      <c r="L324">
        <v>29</v>
      </c>
      <c r="M324">
        <v>13</v>
      </c>
      <c r="N324">
        <v>904</v>
      </c>
      <c r="O324">
        <v>55.9</v>
      </c>
      <c r="P324">
        <v>4.5</v>
      </c>
      <c r="Q324" t="s">
        <v>80</v>
      </c>
      <c r="R324" t="s">
        <v>81</v>
      </c>
      <c r="S324" t="s">
        <v>82</v>
      </c>
      <c r="T324">
        <v>1</v>
      </c>
      <c r="U324">
        <v>2</v>
      </c>
      <c r="V324" s="6">
        <v>363.47</v>
      </c>
      <c r="W324" s="6">
        <v>6992.06</v>
      </c>
      <c r="X324" t="s">
        <v>94</v>
      </c>
      <c r="Y324" s="7">
        <f t="shared" si="35"/>
        <v>2.8571428571428571E-2</v>
      </c>
      <c r="Z324" s="7">
        <f t="shared" si="36"/>
        <v>0.89064039408866991</v>
      </c>
      <c r="AA324">
        <f t="shared" si="37"/>
        <v>16</v>
      </c>
      <c r="AB324" s="8">
        <f t="shared" si="38"/>
        <v>10540.630000000001</v>
      </c>
      <c r="AC324">
        <f t="shared" si="39"/>
        <v>39.299999999999997</v>
      </c>
      <c r="AD324" t="str">
        <f t="shared" si="40"/>
        <v>Low</v>
      </c>
      <c r="AE324" t="str">
        <f t="shared" si="41"/>
        <v>No</v>
      </c>
    </row>
    <row r="325" spans="1:31" x14ac:dyDescent="0.35">
      <c r="A325" t="s">
        <v>434</v>
      </c>
      <c r="B325" s="5">
        <v>46174</v>
      </c>
      <c r="C325" t="s">
        <v>425</v>
      </c>
      <c r="D325" t="s">
        <v>22</v>
      </c>
      <c r="E325" t="s">
        <v>93</v>
      </c>
      <c r="F325" t="s">
        <v>30</v>
      </c>
      <c r="G325" t="s">
        <v>79</v>
      </c>
      <c r="H325" t="s">
        <v>39</v>
      </c>
      <c r="I325" t="s">
        <v>44</v>
      </c>
      <c r="J325">
        <v>1138</v>
      </c>
      <c r="K325">
        <v>1072</v>
      </c>
      <c r="L325">
        <v>12</v>
      </c>
      <c r="M325">
        <v>9</v>
      </c>
      <c r="N325">
        <v>962</v>
      </c>
      <c r="O325">
        <v>36.299999999999997</v>
      </c>
      <c r="P325">
        <v>9.8000000000000007</v>
      </c>
      <c r="Q325" t="s">
        <v>80</v>
      </c>
      <c r="R325" t="s">
        <v>81</v>
      </c>
      <c r="S325" t="s">
        <v>82</v>
      </c>
      <c r="T325">
        <v>3</v>
      </c>
      <c r="U325">
        <v>3</v>
      </c>
      <c r="V325" s="6">
        <v>261.26</v>
      </c>
      <c r="W325" s="6">
        <v>2109.35</v>
      </c>
      <c r="X325" t="s">
        <v>110</v>
      </c>
      <c r="Y325" s="7">
        <f t="shared" si="35"/>
        <v>1.1194029850746268E-2</v>
      </c>
      <c r="Z325" s="7">
        <f t="shared" si="36"/>
        <v>0.89738805970149249</v>
      </c>
      <c r="AA325">
        <f t="shared" si="37"/>
        <v>66</v>
      </c>
      <c r="AB325" s="8">
        <f t="shared" si="38"/>
        <v>3135.12</v>
      </c>
      <c r="AC325">
        <f t="shared" si="39"/>
        <v>28.6</v>
      </c>
      <c r="AD325" t="str">
        <f t="shared" si="40"/>
        <v>Low</v>
      </c>
      <c r="AE325" t="str">
        <f t="shared" si="41"/>
        <v>No</v>
      </c>
    </row>
    <row r="326" spans="1:31" x14ac:dyDescent="0.35">
      <c r="A326" t="s">
        <v>435</v>
      </c>
      <c r="B326" s="5">
        <v>46174</v>
      </c>
      <c r="C326" t="s">
        <v>425</v>
      </c>
      <c r="D326" t="s">
        <v>20</v>
      </c>
      <c r="E326" t="s">
        <v>78</v>
      </c>
      <c r="F326" t="s">
        <v>27</v>
      </c>
      <c r="G326" t="s">
        <v>79</v>
      </c>
      <c r="H326" t="s">
        <v>40</v>
      </c>
      <c r="I326" t="s">
        <v>46</v>
      </c>
      <c r="J326">
        <v>1382</v>
      </c>
      <c r="K326">
        <v>1336</v>
      </c>
      <c r="L326">
        <v>34</v>
      </c>
      <c r="M326">
        <v>24</v>
      </c>
      <c r="N326">
        <v>1245</v>
      </c>
      <c r="O326">
        <v>65.900000000000006</v>
      </c>
      <c r="P326">
        <v>3.7</v>
      </c>
      <c r="Q326" t="s">
        <v>86</v>
      </c>
      <c r="R326" t="s">
        <v>81</v>
      </c>
      <c r="S326" t="s">
        <v>138</v>
      </c>
      <c r="T326">
        <v>4</v>
      </c>
      <c r="U326">
        <v>2</v>
      </c>
      <c r="V326" s="6">
        <v>300.58999999999997</v>
      </c>
      <c r="W326" s="6">
        <v>7717.48</v>
      </c>
      <c r="X326" t="s">
        <v>94</v>
      </c>
      <c r="Y326" s="7">
        <f t="shared" si="35"/>
        <v>2.5449101796407185E-2</v>
      </c>
      <c r="Z326" s="7">
        <f t="shared" si="36"/>
        <v>0.93188622754491013</v>
      </c>
      <c r="AA326">
        <f t="shared" si="37"/>
        <v>46</v>
      </c>
      <c r="AB326" s="8">
        <f t="shared" si="38"/>
        <v>10220.06</v>
      </c>
      <c r="AC326">
        <f t="shared" si="39"/>
        <v>63.3</v>
      </c>
      <c r="AD326" t="str">
        <f t="shared" si="40"/>
        <v>Medium</v>
      </c>
      <c r="AE326" t="str">
        <f t="shared" si="41"/>
        <v>Yes</v>
      </c>
    </row>
    <row r="327" spans="1:31" x14ac:dyDescent="0.35">
      <c r="A327" t="s">
        <v>436</v>
      </c>
      <c r="B327" s="5">
        <v>46174</v>
      </c>
      <c r="C327" t="s">
        <v>425</v>
      </c>
      <c r="D327" t="s">
        <v>22</v>
      </c>
      <c r="E327" t="s">
        <v>93</v>
      </c>
      <c r="F327" t="s">
        <v>31</v>
      </c>
      <c r="G327" t="s">
        <v>85</v>
      </c>
      <c r="H327" t="s">
        <v>34</v>
      </c>
      <c r="I327" t="s">
        <v>47</v>
      </c>
      <c r="J327">
        <v>1050</v>
      </c>
      <c r="K327">
        <v>1067</v>
      </c>
      <c r="L327">
        <v>22</v>
      </c>
      <c r="M327">
        <v>18</v>
      </c>
      <c r="N327">
        <v>947</v>
      </c>
      <c r="O327">
        <v>46.4</v>
      </c>
      <c r="P327">
        <v>15.2</v>
      </c>
      <c r="Q327" t="s">
        <v>80</v>
      </c>
      <c r="R327" t="s">
        <v>81</v>
      </c>
      <c r="S327" t="s">
        <v>82</v>
      </c>
      <c r="T327">
        <v>0</v>
      </c>
      <c r="U327">
        <v>2</v>
      </c>
      <c r="V327" s="6">
        <v>449.31</v>
      </c>
      <c r="W327" s="6">
        <v>2605.3000000000002</v>
      </c>
      <c r="X327" t="s">
        <v>151</v>
      </c>
      <c r="Y327" s="7">
        <f t="shared" si="35"/>
        <v>2.0618556701030927E-2</v>
      </c>
      <c r="Z327" s="7">
        <f t="shared" si="36"/>
        <v>0.88753514526710398</v>
      </c>
      <c r="AA327">
        <f t="shared" si="37"/>
        <v>-17</v>
      </c>
      <c r="AB327" s="8">
        <f t="shared" si="38"/>
        <v>9884.82</v>
      </c>
      <c r="AC327">
        <f t="shared" si="39"/>
        <v>45.4</v>
      </c>
      <c r="AD327" t="str">
        <f t="shared" si="40"/>
        <v>Medium</v>
      </c>
      <c r="AE327" t="str">
        <f t="shared" si="41"/>
        <v>No</v>
      </c>
    </row>
    <row r="328" spans="1:31" x14ac:dyDescent="0.35">
      <c r="A328" t="s">
        <v>437</v>
      </c>
      <c r="B328" s="5">
        <v>46174</v>
      </c>
      <c r="C328" t="s">
        <v>425</v>
      </c>
      <c r="D328" t="s">
        <v>25</v>
      </c>
      <c r="E328" t="s">
        <v>89</v>
      </c>
      <c r="F328" t="s">
        <v>29</v>
      </c>
      <c r="G328" t="s">
        <v>85</v>
      </c>
      <c r="H328" t="s">
        <v>36</v>
      </c>
      <c r="I328" t="s">
        <v>45</v>
      </c>
      <c r="J328">
        <v>1253</v>
      </c>
      <c r="K328">
        <v>1252</v>
      </c>
      <c r="L328">
        <v>51</v>
      </c>
      <c r="M328">
        <v>40</v>
      </c>
      <c r="N328">
        <v>1211</v>
      </c>
      <c r="O328">
        <v>32.1</v>
      </c>
      <c r="P328">
        <v>0</v>
      </c>
      <c r="Q328" t="s">
        <v>80</v>
      </c>
      <c r="R328" t="s">
        <v>81</v>
      </c>
      <c r="S328" t="s">
        <v>82</v>
      </c>
      <c r="T328">
        <v>8</v>
      </c>
      <c r="U328">
        <v>3</v>
      </c>
      <c r="V328" s="6">
        <v>417.71</v>
      </c>
      <c r="W328" s="6">
        <v>10051.44</v>
      </c>
      <c r="X328" t="s">
        <v>94</v>
      </c>
      <c r="Y328" s="7">
        <f t="shared" si="35"/>
        <v>4.0734824281150162E-2</v>
      </c>
      <c r="Z328" s="7">
        <f t="shared" si="36"/>
        <v>0.96725239616613423</v>
      </c>
      <c r="AA328">
        <f t="shared" si="37"/>
        <v>1</v>
      </c>
      <c r="AB328" s="8">
        <f t="shared" si="38"/>
        <v>21303.21</v>
      </c>
      <c r="AC328">
        <f t="shared" si="39"/>
        <v>42.2</v>
      </c>
      <c r="AD328" t="str">
        <f t="shared" si="40"/>
        <v>Medium</v>
      </c>
      <c r="AE328" t="str">
        <f t="shared" si="41"/>
        <v>No</v>
      </c>
    </row>
    <row r="329" spans="1:31" x14ac:dyDescent="0.35">
      <c r="A329" t="s">
        <v>438</v>
      </c>
      <c r="B329" s="5">
        <v>46174</v>
      </c>
      <c r="C329" t="s">
        <v>425</v>
      </c>
      <c r="D329" t="s">
        <v>20</v>
      </c>
      <c r="E329" t="s">
        <v>78</v>
      </c>
      <c r="F329" t="s">
        <v>32</v>
      </c>
      <c r="G329" t="s">
        <v>90</v>
      </c>
      <c r="H329" t="s">
        <v>38</v>
      </c>
      <c r="I329" t="s">
        <v>47</v>
      </c>
      <c r="J329">
        <v>839</v>
      </c>
      <c r="K329">
        <v>859</v>
      </c>
      <c r="L329">
        <v>26</v>
      </c>
      <c r="M329">
        <v>12</v>
      </c>
      <c r="N329">
        <v>829</v>
      </c>
      <c r="O329">
        <v>67.099999999999994</v>
      </c>
      <c r="P329">
        <v>0</v>
      </c>
      <c r="Q329" t="s">
        <v>80</v>
      </c>
      <c r="R329" t="s">
        <v>81</v>
      </c>
      <c r="S329" t="s">
        <v>138</v>
      </c>
      <c r="T329">
        <v>1</v>
      </c>
      <c r="U329">
        <v>3</v>
      </c>
      <c r="V329" s="6">
        <v>359.2</v>
      </c>
      <c r="W329" s="6">
        <v>5577.79</v>
      </c>
      <c r="X329" t="s">
        <v>94</v>
      </c>
      <c r="Y329" s="7">
        <f t="shared" si="35"/>
        <v>3.0267753201396973E-2</v>
      </c>
      <c r="Z329" s="7">
        <f t="shared" si="36"/>
        <v>0.96507566938300349</v>
      </c>
      <c r="AA329">
        <f t="shared" si="37"/>
        <v>-20</v>
      </c>
      <c r="AB329" s="8">
        <f t="shared" si="38"/>
        <v>9339.1999999999989</v>
      </c>
      <c r="AC329">
        <f t="shared" si="39"/>
        <v>43.8</v>
      </c>
      <c r="AD329" t="str">
        <f t="shared" si="40"/>
        <v>Medium</v>
      </c>
      <c r="AE329" t="str">
        <f t="shared" si="41"/>
        <v>Yes</v>
      </c>
    </row>
    <row r="330" spans="1:31" x14ac:dyDescent="0.35">
      <c r="A330" t="s">
        <v>439</v>
      </c>
      <c r="B330" s="5">
        <v>46174</v>
      </c>
      <c r="C330" t="s">
        <v>425</v>
      </c>
      <c r="D330" t="s">
        <v>22</v>
      </c>
      <c r="E330" t="s">
        <v>93</v>
      </c>
      <c r="F330" t="s">
        <v>30</v>
      </c>
      <c r="G330" t="s">
        <v>79</v>
      </c>
      <c r="H330" t="s">
        <v>39</v>
      </c>
      <c r="I330" t="s">
        <v>44</v>
      </c>
      <c r="J330">
        <v>893</v>
      </c>
      <c r="K330">
        <v>893</v>
      </c>
      <c r="L330">
        <v>14</v>
      </c>
      <c r="M330">
        <v>8</v>
      </c>
      <c r="N330">
        <v>875</v>
      </c>
      <c r="O330">
        <v>32.200000000000003</v>
      </c>
      <c r="P330">
        <v>7</v>
      </c>
      <c r="Q330" t="s">
        <v>80</v>
      </c>
      <c r="R330" t="s">
        <v>81</v>
      </c>
      <c r="S330" t="s">
        <v>82</v>
      </c>
      <c r="T330">
        <v>4</v>
      </c>
      <c r="U330">
        <v>3</v>
      </c>
      <c r="V330" s="6">
        <v>408.8</v>
      </c>
      <c r="W330" s="6">
        <v>3256.59</v>
      </c>
      <c r="X330" t="s">
        <v>94</v>
      </c>
      <c r="Y330" s="7">
        <f t="shared" si="35"/>
        <v>1.5677491601343786E-2</v>
      </c>
      <c r="Z330" s="7">
        <f t="shared" si="36"/>
        <v>0.97984322508398658</v>
      </c>
      <c r="AA330">
        <f t="shared" si="37"/>
        <v>0</v>
      </c>
      <c r="AB330" s="8">
        <f t="shared" si="38"/>
        <v>5723.2</v>
      </c>
      <c r="AC330">
        <f t="shared" si="39"/>
        <v>25.7</v>
      </c>
      <c r="AD330" t="str">
        <f t="shared" si="40"/>
        <v>Low</v>
      </c>
      <c r="AE330" t="str">
        <f t="shared" si="41"/>
        <v>No</v>
      </c>
    </row>
    <row r="331" spans="1:31" x14ac:dyDescent="0.35">
      <c r="A331" t="s">
        <v>440</v>
      </c>
      <c r="B331" s="5">
        <v>46174</v>
      </c>
      <c r="C331" t="s">
        <v>425</v>
      </c>
      <c r="D331" t="s">
        <v>25</v>
      </c>
      <c r="E331" t="s">
        <v>89</v>
      </c>
      <c r="F331" t="s">
        <v>32</v>
      </c>
      <c r="G331" t="s">
        <v>79</v>
      </c>
      <c r="H331" t="s">
        <v>34</v>
      </c>
      <c r="I331" t="s">
        <v>42</v>
      </c>
      <c r="J331">
        <v>984</v>
      </c>
      <c r="K331">
        <v>918</v>
      </c>
      <c r="L331">
        <v>19</v>
      </c>
      <c r="M331">
        <v>12</v>
      </c>
      <c r="N331">
        <v>889</v>
      </c>
      <c r="O331">
        <v>70.900000000000006</v>
      </c>
      <c r="P331">
        <v>6.1</v>
      </c>
      <c r="Q331" t="s">
        <v>80</v>
      </c>
      <c r="R331" t="s">
        <v>81</v>
      </c>
      <c r="S331" t="s">
        <v>82</v>
      </c>
      <c r="T331">
        <v>0</v>
      </c>
      <c r="U331">
        <v>1</v>
      </c>
      <c r="V331" s="6">
        <v>433.18</v>
      </c>
      <c r="W331" s="6">
        <v>5616.24</v>
      </c>
      <c r="X331" t="s">
        <v>115</v>
      </c>
      <c r="Y331" s="7">
        <f t="shared" si="35"/>
        <v>2.0697167755991286E-2</v>
      </c>
      <c r="Z331" s="7">
        <f t="shared" si="36"/>
        <v>0.96840958605664484</v>
      </c>
      <c r="AA331">
        <f t="shared" si="37"/>
        <v>66</v>
      </c>
      <c r="AB331" s="8">
        <f t="shared" si="38"/>
        <v>8230.42</v>
      </c>
      <c r="AC331">
        <f t="shared" si="39"/>
        <v>30</v>
      </c>
      <c r="AD331" t="str">
        <f t="shared" si="40"/>
        <v>Low</v>
      </c>
      <c r="AE331" t="str">
        <f t="shared" si="41"/>
        <v>No</v>
      </c>
    </row>
    <row r="332" spans="1:31" x14ac:dyDescent="0.35">
      <c r="A332" t="s">
        <v>441</v>
      </c>
      <c r="B332" s="5">
        <v>46181</v>
      </c>
      <c r="C332" t="s">
        <v>425</v>
      </c>
      <c r="D332" t="s">
        <v>25</v>
      </c>
      <c r="E332" t="s">
        <v>89</v>
      </c>
      <c r="F332" t="s">
        <v>32</v>
      </c>
      <c r="G332" t="s">
        <v>85</v>
      </c>
      <c r="H332" t="s">
        <v>34</v>
      </c>
      <c r="I332" t="s">
        <v>44</v>
      </c>
      <c r="J332">
        <v>992</v>
      </c>
      <c r="K332">
        <v>931</v>
      </c>
      <c r="L332">
        <v>5</v>
      </c>
      <c r="M332">
        <v>2</v>
      </c>
      <c r="N332">
        <v>925</v>
      </c>
      <c r="O332">
        <v>51.7</v>
      </c>
      <c r="P332">
        <v>4.8</v>
      </c>
      <c r="Q332" t="s">
        <v>80</v>
      </c>
      <c r="R332" t="s">
        <v>81</v>
      </c>
      <c r="S332" t="s">
        <v>138</v>
      </c>
      <c r="T332">
        <v>0</v>
      </c>
      <c r="U332">
        <v>0</v>
      </c>
      <c r="V332" s="6">
        <v>241.76</v>
      </c>
      <c r="W332" s="6">
        <v>535.91</v>
      </c>
      <c r="X332" t="s">
        <v>94</v>
      </c>
      <c r="Y332" s="7">
        <f t="shared" si="35"/>
        <v>5.3705692803437165E-3</v>
      </c>
      <c r="Z332" s="7">
        <f t="shared" si="36"/>
        <v>0.99355531686358756</v>
      </c>
      <c r="AA332">
        <f t="shared" si="37"/>
        <v>61</v>
      </c>
      <c r="AB332" s="8">
        <f t="shared" si="38"/>
        <v>1208.8</v>
      </c>
      <c r="AC332">
        <f t="shared" si="39"/>
        <v>23.9</v>
      </c>
      <c r="AD332" t="str">
        <f t="shared" si="40"/>
        <v>Low</v>
      </c>
      <c r="AE332" t="str">
        <f t="shared" si="41"/>
        <v>Yes</v>
      </c>
    </row>
    <row r="333" spans="1:31" x14ac:dyDescent="0.35">
      <c r="A333" t="s">
        <v>442</v>
      </c>
      <c r="B333" s="5">
        <v>46181</v>
      </c>
      <c r="C333" t="s">
        <v>425</v>
      </c>
      <c r="D333" t="s">
        <v>25</v>
      </c>
      <c r="E333" t="s">
        <v>89</v>
      </c>
      <c r="F333" t="s">
        <v>27</v>
      </c>
      <c r="G333" t="s">
        <v>85</v>
      </c>
      <c r="H333" t="s">
        <v>34</v>
      </c>
      <c r="I333" t="s">
        <v>46</v>
      </c>
      <c r="J333">
        <v>1073</v>
      </c>
      <c r="K333">
        <v>1058</v>
      </c>
      <c r="L333">
        <v>31</v>
      </c>
      <c r="M333">
        <v>17</v>
      </c>
      <c r="N333">
        <v>1025</v>
      </c>
      <c r="O333">
        <v>61.9</v>
      </c>
      <c r="P333">
        <v>5.6</v>
      </c>
      <c r="Q333" t="s">
        <v>86</v>
      </c>
      <c r="R333" t="s">
        <v>81</v>
      </c>
      <c r="S333" t="s">
        <v>82</v>
      </c>
      <c r="T333">
        <v>3</v>
      </c>
      <c r="U333">
        <v>2</v>
      </c>
      <c r="V333" s="6">
        <v>142.15</v>
      </c>
      <c r="W333" s="6">
        <v>1128.97</v>
      </c>
      <c r="X333" t="s">
        <v>94</v>
      </c>
      <c r="Y333" s="7">
        <f t="shared" si="35"/>
        <v>2.9300567107750471E-2</v>
      </c>
      <c r="Z333" s="7">
        <f t="shared" si="36"/>
        <v>0.9688090737240076</v>
      </c>
      <c r="AA333">
        <f t="shared" si="37"/>
        <v>15</v>
      </c>
      <c r="AB333" s="8">
        <f t="shared" si="38"/>
        <v>4406.6500000000005</v>
      </c>
      <c r="AC333">
        <f t="shared" si="39"/>
        <v>56</v>
      </c>
      <c r="AD333" t="str">
        <f t="shared" si="40"/>
        <v>Medium</v>
      </c>
      <c r="AE333" t="str">
        <f t="shared" si="41"/>
        <v>Yes</v>
      </c>
    </row>
    <row r="334" spans="1:31" x14ac:dyDescent="0.35">
      <c r="A334" t="s">
        <v>443</v>
      </c>
      <c r="B334" s="5">
        <v>46181</v>
      </c>
      <c r="C334" t="s">
        <v>425</v>
      </c>
      <c r="D334" t="s">
        <v>22</v>
      </c>
      <c r="E334" t="s">
        <v>93</v>
      </c>
      <c r="F334" t="s">
        <v>30</v>
      </c>
      <c r="G334" t="s">
        <v>79</v>
      </c>
      <c r="H334" t="s">
        <v>36</v>
      </c>
      <c r="I334" t="s">
        <v>45</v>
      </c>
      <c r="J334">
        <v>953</v>
      </c>
      <c r="K334">
        <v>924</v>
      </c>
      <c r="L334">
        <v>26</v>
      </c>
      <c r="M334">
        <v>19</v>
      </c>
      <c r="N334">
        <v>879</v>
      </c>
      <c r="O334">
        <v>46.3</v>
      </c>
      <c r="P334">
        <v>3.9</v>
      </c>
      <c r="Q334" t="s">
        <v>80</v>
      </c>
      <c r="R334" t="s">
        <v>81</v>
      </c>
      <c r="S334" t="s">
        <v>82</v>
      </c>
      <c r="T334">
        <v>4</v>
      </c>
      <c r="U334">
        <v>0</v>
      </c>
      <c r="V334" s="6">
        <v>31.2</v>
      </c>
      <c r="W334" s="6">
        <v>341.78</v>
      </c>
      <c r="X334" t="s">
        <v>91</v>
      </c>
      <c r="Y334" s="7">
        <f t="shared" si="35"/>
        <v>2.813852813852814E-2</v>
      </c>
      <c r="Z334" s="7">
        <f t="shared" si="36"/>
        <v>0.95129870129870131</v>
      </c>
      <c r="AA334">
        <f t="shared" si="37"/>
        <v>29</v>
      </c>
      <c r="AB334" s="8">
        <f t="shared" si="38"/>
        <v>811.19999999999993</v>
      </c>
      <c r="AC334">
        <f t="shared" si="39"/>
        <v>35.4</v>
      </c>
      <c r="AD334" t="str">
        <f t="shared" si="40"/>
        <v>Low</v>
      </c>
      <c r="AE334" t="str">
        <f t="shared" si="41"/>
        <v>No</v>
      </c>
    </row>
    <row r="335" spans="1:31" x14ac:dyDescent="0.35">
      <c r="A335" t="s">
        <v>444</v>
      </c>
      <c r="B335" s="5">
        <v>46181</v>
      </c>
      <c r="C335" t="s">
        <v>425</v>
      </c>
      <c r="D335" t="s">
        <v>25</v>
      </c>
      <c r="E335" t="s">
        <v>89</v>
      </c>
      <c r="F335" t="s">
        <v>30</v>
      </c>
      <c r="G335" t="s">
        <v>79</v>
      </c>
      <c r="H335" t="s">
        <v>40</v>
      </c>
      <c r="I335" t="s">
        <v>42</v>
      </c>
      <c r="J335">
        <v>1126</v>
      </c>
      <c r="K335">
        <v>1067</v>
      </c>
      <c r="L335">
        <v>24</v>
      </c>
      <c r="M335">
        <v>17</v>
      </c>
      <c r="N335">
        <v>1012</v>
      </c>
      <c r="O335">
        <v>33.799999999999997</v>
      </c>
      <c r="P335">
        <v>2.7</v>
      </c>
      <c r="Q335" t="s">
        <v>80</v>
      </c>
      <c r="R335" t="s">
        <v>81</v>
      </c>
      <c r="S335" t="s">
        <v>82</v>
      </c>
      <c r="T335">
        <v>0</v>
      </c>
      <c r="U335">
        <v>6</v>
      </c>
      <c r="V335" s="6">
        <v>190.24</v>
      </c>
      <c r="W335" s="6">
        <v>3119.99</v>
      </c>
      <c r="X335" t="s">
        <v>94</v>
      </c>
      <c r="Y335" s="7">
        <f t="shared" si="35"/>
        <v>2.2492970946579195E-2</v>
      </c>
      <c r="Z335" s="7">
        <f t="shared" si="36"/>
        <v>0.94845360824742264</v>
      </c>
      <c r="AA335">
        <f t="shared" si="37"/>
        <v>59</v>
      </c>
      <c r="AB335" s="8">
        <f t="shared" si="38"/>
        <v>4565.76</v>
      </c>
      <c r="AC335">
        <f t="shared" si="39"/>
        <v>28.3</v>
      </c>
      <c r="AD335" t="str">
        <f t="shared" si="40"/>
        <v>Low</v>
      </c>
      <c r="AE335" t="str">
        <f t="shared" si="41"/>
        <v>No</v>
      </c>
    </row>
    <row r="336" spans="1:31" x14ac:dyDescent="0.35">
      <c r="A336" t="s">
        <v>445</v>
      </c>
      <c r="B336" s="5">
        <v>46181</v>
      </c>
      <c r="C336" t="s">
        <v>425</v>
      </c>
      <c r="D336" t="s">
        <v>24</v>
      </c>
      <c r="E336" t="s">
        <v>78</v>
      </c>
      <c r="F336" t="s">
        <v>32</v>
      </c>
      <c r="G336" t="s">
        <v>85</v>
      </c>
      <c r="H336" t="s">
        <v>37</v>
      </c>
      <c r="I336" t="s">
        <v>48</v>
      </c>
      <c r="J336">
        <v>1182</v>
      </c>
      <c r="K336">
        <v>1231</v>
      </c>
      <c r="L336">
        <v>25</v>
      </c>
      <c r="M336">
        <v>11</v>
      </c>
      <c r="N336">
        <v>1099</v>
      </c>
      <c r="O336">
        <v>28.9</v>
      </c>
      <c r="P336">
        <v>9.5</v>
      </c>
      <c r="Q336" t="s">
        <v>80</v>
      </c>
      <c r="R336" t="s">
        <v>81</v>
      </c>
      <c r="S336" t="s">
        <v>82</v>
      </c>
      <c r="T336">
        <v>3</v>
      </c>
      <c r="U336">
        <v>0</v>
      </c>
      <c r="V336" s="6">
        <v>455.54</v>
      </c>
      <c r="W336" s="6">
        <v>7174</v>
      </c>
      <c r="X336" t="s">
        <v>83</v>
      </c>
      <c r="Y336" s="7">
        <f t="shared" si="35"/>
        <v>2.0308692120227456E-2</v>
      </c>
      <c r="Z336" s="7">
        <f t="shared" si="36"/>
        <v>0.89277010560519898</v>
      </c>
      <c r="AA336">
        <f t="shared" si="37"/>
        <v>-49</v>
      </c>
      <c r="AB336" s="8">
        <f t="shared" si="38"/>
        <v>11388.5</v>
      </c>
      <c r="AC336">
        <f t="shared" si="39"/>
        <v>37.5</v>
      </c>
      <c r="AD336" t="str">
        <f t="shared" si="40"/>
        <v>Low</v>
      </c>
      <c r="AE336" t="str">
        <f t="shared" si="41"/>
        <v>No</v>
      </c>
    </row>
    <row r="337" spans="1:31" x14ac:dyDescent="0.35">
      <c r="A337" t="s">
        <v>446</v>
      </c>
      <c r="B337" s="5">
        <v>46181</v>
      </c>
      <c r="C337" t="s">
        <v>425</v>
      </c>
      <c r="D337" t="s">
        <v>20</v>
      </c>
      <c r="E337" t="s">
        <v>78</v>
      </c>
      <c r="F337" t="s">
        <v>32</v>
      </c>
      <c r="G337" t="s">
        <v>90</v>
      </c>
      <c r="H337" t="s">
        <v>36</v>
      </c>
      <c r="I337" t="s">
        <v>42</v>
      </c>
      <c r="J337">
        <v>1053</v>
      </c>
      <c r="K337">
        <v>1099</v>
      </c>
      <c r="L337">
        <v>42</v>
      </c>
      <c r="M337">
        <v>19</v>
      </c>
      <c r="N337">
        <v>1033</v>
      </c>
      <c r="O337">
        <v>56</v>
      </c>
      <c r="P337">
        <v>13.9</v>
      </c>
      <c r="Q337" t="s">
        <v>80</v>
      </c>
      <c r="R337" t="s">
        <v>99</v>
      </c>
      <c r="S337" t="s">
        <v>82</v>
      </c>
      <c r="T337">
        <v>10</v>
      </c>
      <c r="U337">
        <v>2</v>
      </c>
      <c r="V337" s="6">
        <v>396.97</v>
      </c>
      <c r="W337" s="6">
        <v>5926.12</v>
      </c>
      <c r="X337" t="s">
        <v>94</v>
      </c>
      <c r="Y337" s="7">
        <f t="shared" si="35"/>
        <v>3.8216560509554139E-2</v>
      </c>
      <c r="Z337" s="7">
        <f t="shared" si="36"/>
        <v>0.93994540491355782</v>
      </c>
      <c r="AA337">
        <f t="shared" si="37"/>
        <v>-46</v>
      </c>
      <c r="AB337" s="8">
        <f t="shared" si="38"/>
        <v>16672.740000000002</v>
      </c>
      <c r="AC337">
        <f t="shared" si="39"/>
        <v>79</v>
      </c>
      <c r="AD337" t="str">
        <f t="shared" si="40"/>
        <v>High</v>
      </c>
      <c r="AE337" t="str">
        <f t="shared" si="41"/>
        <v>Yes</v>
      </c>
    </row>
    <row r="338" spans="1:31" x14ac:dyDescent="0.35">
      <c r="A338" t="s">
        <v>447</v>
      </c>
      <c r="B338" s="5">
        <v>46181</v>
      </c>
      <c r="C338" t="s">
        <v>425</v>
      </c>
      <c r="D338" t="s">
        <v>20</v>
      </c>
      <c r="E338" t="s">
        <v>78</v>
      </c>
      <c r="F338" t="s">
        <v>29</v>
      </c>
      <c r="G338" t="s">
        <v>79</v>
      </c>
      <c r="H338" t="s">
        <v>40</v>
      </c>
      <c r="I338" t="s">
        <v>47</v>
      </c>
      <c r="J338">
        <v>1261</v>
      </c>
      <c r="K338">
        <v>1212</v>
      </c>
      <c r="L338">
        <v>22</v>
      </c>
      <c r="M338">
        <v>10</v>
      </c>
      <c r="N338">
        <v>1095</v>
      </c>
      <c r="O338">
        <v>66.599999999999994</v>
      </c>
      <c r="P338">
        <v>0</v>
      </c>
      <c r="Q338" t="s">
        <v>86</v>
      </c>
      <c r="R338" t="s">
        <v>81</v>
      </c>
      <c r="S338" t="s">
        <v>82</v>
      </c>
      <c r="T338">
        <v>2</v>
      </c>
      <c r="U338">
        <v>5</v>
      </c>
      <c r="V338" s="6">
        <v>198.67</v>
      </c>
      <c r="W338" s="6">
        <v>2907.33</v>
      </c>
      <c r="X338" t="s">
        <v>94</v>
      </c>
      <c r="Y338" s="7">
        <f t="shared" si="35"/>
        <v>1.8151815181518153E-2</v>
      </c>
      <c r="Z338" s="7">
        <f t="shared" si="36"/>
        <v>0.90346534653465349</v>
      </c>
      <c r="AA338">
        <f t="shared" si="37"/>
        <v>49</v>
      </c>
      <c r="AB338" s="8">
        <f t="shared" si="38"/>
        <v>4370.74</v>
      </c>
      <c r="AC338">
        <f t="shared" si="39"/>
        <v>40.5</v>
      </c>
      <c r="AD338" t="str">
        <f t="shared" si="40"/>
        <v>Medium</v>
      </c>
      <c r="AE338" t="str">
        <f t="shared" si="41"/>
        <v>Yes</v>
      </c>
    </row>
    <row r="339" spans="1:31" x14ac:dyDescent="0.35">
      <c r="A339" t="s">
        <v>448</v>
      </c>
      <c r="B339" s="5">
        <v>46181</v>
      </c>
      <c r="C339" t="s">
        <v>425</v>
      </c>
      <c r="D339" t="s">
        <v>23</v>
      </c>
      <c r="E339" t="s">
        <v>78</v>
      </c>
      <c r="F339" t="s">
        <v>30</v>
      </c>
      <c r="G339" t="s">
        <v>85</v>
      </c>
      <c r="H339" t="s">
        <v>40</v>
      </c>
      <c r="I339" t="s">
        <v>45</v>
      </c>
      <c r="J339">
        <v>981</v>
      </c>
      <c r="K339">
        <v>889</v>
      </c>
      <c r="L339">
        <v>25</v>
      </c>
      <c r="M339">
        <v>16</v>
      </c>
      <c r="N339">
        <v>840</v>
      </c>
      <c r="O339">
        <v>50.5</v>
      </c>
      <c r="P339">
        <v>12.4</v>
      </c>
      <c r="Q339" t="s">
        <v>80</v>
      </c>
      <c r="R339" t="s">
        <v>81</v>
      </c>
      <c r="S339" t="s">
        <v>82</v>
      </c>
      <c r="T339">
        <v>5</v>
      </c>
      <c r="U339">
        <v>3</v>
      </c>
      <c r="V339" s="6">
        <v>406.68</v>
      </c>
      <c r="W339" s="6">
        <v>6753.11</v>
      </c>
      <c r="X339" t="s">
        <v>87</v>
      </c>
      <c r="Y339" s="7">
        <f t="shared" si="35"/>
        <v>2.81214848143982E-2</v>
      </c>
      <c r="Z339" s="7">
        <f t="shared" si="36"/>
        <v>0.94488188976377951</v>
      </c>
      <c r="AA339">
        <f t="shared" si="37"/>
        <v>92</v>
      </c>
      <c r="AB339" s="8">
        <f t="shared" si="38"/>
        <v>10167</v>
      </c>
      <c r="AC339">
        <f t="shared" si="39"/>
        <v>46.7</v>
      </c>
      <c r="AD339" t="str">
        <f t="shared" si="40"/>
        <v>Medium</v>
      </c>
      <c r="AE339" t="str">
        <f t="shared" si="41"/>
        <v>No</v>
      </c>
    </row>
    <row r="340" spans="1:31" x14ac:dyDescent="0.35">
      <c r="A340" t="s">
        <v>449</v>
      </c>
      <c r="B340" s="5">
        <v>46181</v>
      </c>
      <c r="C340" t="s">
        <v>425</v>
      </c>
      <c r="D340" t="s">
        <v>20</v>
      </c>
      <c r="E340" t="s">
        <v>78</v>
      </c>
      <c r="F340" t="s">
        <v>30</v>
      </c>
      <c r="G340" t="s">
        <v>90</v>
      </c>
      <c r="H340" t="s">
        <v>40</v>
      </c>
      <c r="I340" t="s">
        <v>48</v>
      </c>
      <c r="J340">
        <v>934</v>
      </c>
      <c r="K340">
        <v>938</v>
      </c>
      <c r="L340">
        <v>31</v>
      </c>
      <c r="M340">
        <v>15</v>
      </c>
      <c r="N340">
        <v>874</v>
      </c>
      <c r="O340">
        <v>44.5</v>
      </c>
      <c r="P340">
        <v>8.5</v>
      </c>
      <c r="Q340" t="s">
        <v>80</v>
      </c>
      <c r="R340" t="s">
        <v>81</v>
      </c>
      <c r="S340" t="s">
        <v>82</v>
      </c>
      <c r="T340">
        <v>7</v>
      </c>
      <c r="U340">
        <v>4</v>
      </c>
      <c r="V340" s="6">
        <v>283.44</v>
      </c>
      <c r="W340" s="6">
        <v>4437.0200000000004</v>
      </c>
      <c r="X340" t="s">
        <v>94</v>
      </c>
      <c r="Y340" s="7">
        <f t="shared" si="35"/>
        <v>3.3049040511727079E-2</v>
      </c>
      <c r="Z340" s="7">
        <f t="shared" si="36"/>
        <v>0.93176972281449888</v>
      </c>
      <c r="AA340">
        <f t="shared" si="37"/>
        <v>-4</v>
      </c>
      <c r="AB340" s="8">
        <f t="shared" si="38"/>
        <v>8786.64</v>
      </c>
      <c r="AC340">
        <f t="shared" si="39"/>
        <v>47.2</v>
      </c>
      <c r="AD340" t="str">
        <f t="shared" si="40"/>
        <v>Medium</v>
      </c>
      <c r="AE340" t="str">
        <f t="shared" si="41"/>
        <v>No</v>
      </c>
    </row>
    <row r="341" spans="1:31" x14ac:dyDescent="0.35">
      <c r="A341" t="s">
        <v>450</v>
      </c>
      <c r="B341" s="5">
        <v>46181</v>
      </c>
      <c r="C341" t="s">
        <v>425</v>
      </c>
      <c r="D341" t="s">
        <v>23</v>
      </c>
      <c r="E341" t="s">
        <v>78</v>
      </c>
      <c r="F341" t="s">
        <v>32</v>
      </c>
      <c r="G341" t="s">
        <v>90</v>
      </c>
      <c r="H341" t="s">
        <v>36</v>
      </c>
      <c r="I341" t="s">
        <v>42</v>
      </c>
      <c r="J341">
        <v>1265</v>
      </c>
      <c r="K341">
        <v>1149</v>
      </c>
      <c r="L341">
        <v>33</v>
      </c>
      <c r="M341">
        <v>12</v>
      </c>
      <c r="N341">
        <v>1015</v>
      </c>
      <c r="O341">
        <v>60.9</v>
      </c>
      <c r="P341">
        <v>12.9</v>
      </c>
      <c r="Q341" t="s">
        <v>80</v>
      </c>
      <c r="R341" t="s">
        <v>81</v>
      </c>
      <c r="S341" t="s">
        <v>82</v>
      </c>
      <c r="T341">
        <v>3</v>
      </c>
      <c r="U341">
        <v>3</v>
      </c>
      <c r="V341" s="6">
        <v>114.53</v>
      </c>
      <c r="W341" s="6">
        <v>1172.08</v>
      </c>
      <c r="X341" t="s">
        <v>94</v>
      </c>
      <c r="Y341" s="7">
        <f t="shared" si="35"/>
        <v>2.8720626631853787E-2</v>
      </c>
      <c r="Z341" s="7">
        <f t="shared" si="36"/>
        <v>0.88337684943429073</v>
      </c>
      <c r="AA341">
        <f t="shared" si="37"/>
        <v>116</v>
      </c>
      <c r="AB341" s="8">
        <f t="shared" si="38"/>
        <v>3779.4900000000002</v>
      </c>
      <c r="AC341">
        <f t="shared" si="39"/>
        <v>50.7</v>
      </c>
      <c r="AD341" t="str">
        <f t="shared" si="40"/>
        <v>Medium</v>
      </c>
      <c r="AE341" t="str">
        <f t="shared" si="41"/>
        <v>No</v>
      </c>
    </row>
    <row r="342" spans="1:31" x14ac:dyDescent="0.35">
      <c r="A342" t="s">
        <v>451</v>
      </c>
      <c r="B342" s="5">
        <v>46181</v>
      </c>
      <c r="C342" t="s">
        <v>425</v>
      </c>
      <c r="D342" t="s">
        <v>25</v>
      </c>
      <c r="E342" t="s">
        <v>89</v>
      </c>
      <c r="F342" t="s">
        <v>30</v>
      </c>
      <c r="G342" t="s">
        <v>90</v>
      </c>
      <c r="H342" t="s">
        <v>38</v>
      </c>
      <c r="I342" t="s">
        <v>45</v>
      </c>
      <c r="J342">
        <v>1054</v>
      </c>
      <c r="K342">
        <v>1102</v>
      </c>
      <c r="L342">
        <v>49</v>
      </c>
      <c r="M342">
        <v>25</v>
      </c>
      <c r="N342">
        <v>985</v>
      </c>
      <c r="O342">
        <v>52.3</v>
      </c>
      <c r="P342">
        <v>6.6</v>
      </c>
      <c r="Q342" t="s">
        <v>80</v>
      </c>
      <c r="R342" t="s">
        <v>81</v>
      </c>
      <c r="S342" t="s">
        <v>82</v>
      </c>
      <c r="T342">
        <v>10</v>
      </c>
      <c r="U342">
        <v>4</v>
      </c>
      <c r="V342" s="6">
        <v>336.89</v>
      </c>
      <c r="W342" s="6">
        <v>11132.36</v>
      </c>
      <c r="X342" t="s">
        <v>94</v>
      </c>
      <c r="Y342" s="7">
        <f t="shared" si="35"/>
        <v>4.4464609800362979E-2</v>
      </c>
      <c r="Z342" s="7">
        <f t="shared" si="36"/>
        <v>0.89382940108892917</v>
      </c>
      <c r="AA342">
        <f t="shared" si="37"/>
        <v>-48</v>
      </c>
      <c r="AB342" s="8">
        <f t="shared" si="38"/>
        <v>16507.61</v>
      </c>
      <c r="AC342">
        <f t="shared" si="39"/>
        <v>57.8</v>
      </c>
      <c r="AD342" t="str">
        <f t="shared" si="40"/>
        <v>Medium</v>
      </c>
      <c r="AE342" t="str">
        <f t="shared" si="41"/>
        <v>No</v>
      </c>
    </row>
    <row r="343" spans="1:31" x14ac:dyDescent="0.35">
      <c r="A343" t="s">
        <v>452</v>
      </c>
      <c r="B343" s="5">
        <v>46181</v>
      </c>
      <c r="C343" t="s">
        <v>425</v>
      </c>
      <c r="D343" t="s">
        <v>22</v>
      </c>
      <c r="E343" t="s">
        <v>93</v>
      </c>
      <c r="F343" t="s">
        <v>27</v>
      </c>
      <c r="G343" t="s">
        <v>85</v>
      </c>
      <c r="H343" t="s">
        <v>38</v>
      </c>
      <c r="I343" t="s">
        <v>44</v>
      </c>
      <c r="J343">
        <v>1483</v>
      </c>
      <c r="K343">
        <v>1485</v>
      </c>
      <c r="L343">
        <v>10</v>
      </c>
      <c r="M343">
        <v>7</v>
      </c>
      <c r="N343">
        <v>1333</v>
      </c>
      <c r="O343">
        <v>21.6</v>
      </c>
      <c r="P343">
        <v>9.6</v>
      </c>
      <c r="Q343" t="s">
        <v>80</v>
      </c>
      <c r="R343" t="s">
        <v>81</v>
      </c>
      <c r="S343" t="s">
        <v>82</v>
      </c>
      <c r="T343">
        <v>1</v>
      </c>
      <c r="U343">
        <v>0</v>
      </c>
      <c r="V343" s="6">
        <v>315.7</v>
      </c>
      <c r="W343" s="6">
        <v>2438.1</v>
      </c>
      <c r="X343" t="s">
        <v>110</v>
      </c>
      <c r="Y343" s="7">
        <f t="shared" si="35"/>
        <v>6.7340067340067337E-3</v>
      </c>
      <c r="Z343" s="7">
        <f t="shared" si="36"/>
        <v>0.89764309764309769</v>
      </c>
      <c r="AA343">
        <f t="shared" si="37"/>
        <v>-2</v>
      </c>
      <c r="AB343" s="8">
        <f t="shared" si="38"/>
        <v>3157</v>
      </c>
      <c r="AC343">
        <f t="shared" si="39"/>
        <v>23.8</v>
      </c>
      <c r="AD343" t="str">
        <f t="shared" si="40"/>
        <v>Low</v>
      </c>
      <c r="AE343" t="str">
        <f t="shared" si="41"/>
        <v>No</v>
      </c>
    </row>
    <row r="344" spans="1:31" x14ac:dyDescent="0.35">
      <c r="A344" t="s">
        <v>453</v>
      </c>
      <c r="B344" s="5">
        <v>46181</v>
      </c>
      <c r="C344" t="s">
        <v>425</v>
      </c>
      <c r="D344" t="s">
        <v>25</v>
      </c>
      <c r="E344" t="s">
        <v>89</v>
      </c>
      <c r="F344" t="s">
        <v>30</v>
      </c>
      <c r="G344" t="s">
        <v>90</v>
      </c>
      <c r="H344" t="s">
        <v>40</v>
      </c>
      <c r="I344" t="s">
        <v>48</v>
      </c>
      <c r="J344">
        <v>1256</v>
      </c>
      <c r="K344">
        <v>1308</v>
      </c>
      <c r="L344">
        <v>18</v>
      </c>
      <c r="M344">
        <v>14</v>
      </c>
      <c r="N344">
        <v>1252</v>
      </c>
      <c r="O344">
        <v>70.099999999999994</v>
      </c>
      <c r="P344">
        <v>0</v>
      </c>
      <c r="Q344" t="s">
        <v>80</v>
      </c>
      <c r="R344" t="s">
        <v>81</v>
      </c>
      <c r="S344" t="s">
        <v>82</v>
      </c>
      <c r="T344">
        <v>0</v>
      </c>
      <c r="U344">
        <v>2</v>
      </c>
      <c r="V344" s="6">
        <v>71.91</v>
      </c>
      <c r="W344" s="6">
        <v>920.17</v>
      </c>
      <c r="X344" t="s">
        <v>151</v>
      </c>
      <c r="Y344" s="7">
        <f t="shared" si="35"/>
        <v>1.3761467889908258E-2</v>
      </c>
      <c r="Z344" s="7">
        <f t="shared" si="36"/>
        <v>0.95718654434250761</v>
      </c>
      <c r="AA344">
        <f t="shared" si="37"/>
        <v>-52</v>
      </c>
      <c r="AB344" s="8">
        <f t="shared" si="38"/>
        <v>1294.3799999999999</v>
      </c>
      <c r="AC344">
        <f t="shared" si="39"/>
        <v>15.7</v>
      </c>
      <c r="AD344" t="str">
        <f t="shared" si="40"/>
        <v>Low</v>
      </c>
      <c r="AE344" t="str">
        <f t="shared" si="41"/>
        <v>No</v>
      </c>
    </row>
    <row r="345" spans="1:31" x14ac:dyDescent="0.35">
      <c r="A345" t="s">
        <v>454</v>
      </c>
      <c r="B345" s="5">
        <v>46181</v>
      </c>
      <c r="C345" t="s">
        <v>425</v>
      </c>
      <c r="D345" t="s">
        <v>22</v>
      </c>
      <c r="E345" t="s">
        <v>93</v>
      </c>
      <c r="F345" t="s">
        <v>30</v>
      </c>
      <c r="G345" t="s">
        <v>90</v>
      </c>
      <c r="H345" t="s">
        <v>39</v>
      </c>
      <c r="I345" t="s">
        <v>47</v>
      </c>
      <c r="J345">
        <v>857</v>
      </c>
      <c r="K345">
        <v>873</v>
      </c>
      <c r="L345">
        <v>24</v>
      </c>
      <c r="M345">
        <v>12</v>
      </c>
      <c r="N345">
        <v>855</v>
      </c>
      <c r="O345">
        <v>20</v>
      </c>
      <c r="P345">
        <v>0</v>
      </c>
      <c r="Q345" t="s">
        <v>80</v>
      </c>
      <c r="R345" t="s">
        <v>81</v>
      </c>
      <c r="S345" t="s">
        <v>82</v>
      </c>
      <c r="T345">
        <v>8</v>
      </c>
      <c r="U345">
        <v>0</v>
      </c>
      <c r="V345" s="6">
        <v>124.73</v>
      </c>
      <c r="W345" s="6">
        <v>1353.91</v>
      </c>
      <c r="X345" t="s">
        <v>94</v>
      </c>
      <c r="Y345" s="7">
        <f t="shared" si="35"/>
        <v>2.7491408934707903E-2</v>
      </c>
      <c r="Z345" s="7">
        <f t="shared" si="36"/>
        <v>0.97938144329896903</v>
      </c>
      <c r="AA345">
        <f t="shared" si="37"/>
        <v>-16</v>
      </c>
      <c r="AB345" s="8">
        <f t="shared" si="38"/>
        <v>2993.52</v>
      </c>
      <c r="AC345">
        <f t="shared" si="39"/>
        <v>28.4</v>
      </c>
      <c r="AD345" t="str">
        <f t="shared" si="40"/>
        <v>Low</v>
      </c>
      <c r="AE345" t="str">
        <f t="shared" si="41"/>
        <v>No</v>
      </c>
    </row>
    <row r="346" spans="1:31" x14ac:dyDescent="0.35">
      <c r="A346" t="s">
        <v>455</v>
      </c>
      <c r="B346" s="5">
        <v>46181</v>
      </c>
      <c r="C346" t="s">
        <v>425</v>
      </c>
      <c r="D346" t="s">
        <v>20</v>
      </c>
      <c r="E346" t="s">
        <v>78</v>
      </c>
      <c r="F346" t="s">
        <v>31</v>
      </c>
      <c r="G346" t="s">
        <v>79</v>
      </c>
      <c r="H346" t="s">
        <v>40</v>
      </c>
      <c r="I346" t="s">
        <v>46</v>
      </c>
      <c r="J346">
        <v>1250</v>
      </c>
      <c r="K346">
        <v>1198</v>
      </c>
      <c r="L346">
        <v>26</v>
      </c>
      <c r="M346">
        <v>10</v>
      </c>
      <c r="N346">
        <v>1180</v>
      </c>
      <c r="O346">
        <v>56.1</v>
      </c>
      <c r="P346">
        <v>14.1</v>
      </c>
      <c r="Q346" t="s">
        <v>86</v>
      </c>
      <c r="R346" t="s">
        <v>81</v>
      </c>
      <c r="S346" t="s">
        <v>82</v>
      </c>
      <c r="T346">
        <v>1</v>
      </c>
      <c r="U346">
        <v>7</v>
      </c>
      <c r="V346" s="6">
        <v>92.89</v>
      </c>
      <c r="W346" s="6">
        <v>714.82</v>
      </c>
      <c r="X346" t="s">
        <v>83</v>
      </c>
      <c r="Y346" s="7">
        <f t="shared" si="35"/>
        <v>2.1702838063439065E-2</v>
      </c>
      <c r="Z346" s="7">
        <f t="shared" si="36"/>
        <v>0.9849749582637729</v>
      </c>
      <c r="AA346">
        <f t="shared" si="37"/>
        <v>52</v>
      </c>
      <c r="AB346" s="8">
        <f t="shared" si="38"/>
        <v>2415.14</v>
      </c>
      <c r="AC346">
        <f t="shared" si="39"/>
        <v>58.7</v>
      </c>
      <c r="AD346" t="str">
        <f t="shared" si="40"/>
        <v>Medium</v>
      </c>
      <c r="AE346" t="str">
        <f t="shared" si="41"/>
        <v>Yes</v>
      </c>
    </row>
    <row r="347" spans="1:31" x14ac:dyDescent="0.35">
      <c r="A347" t="s">
        <v>456</v>
      </c>
      <c r="B347" s="5">
        <v>46188</v>
      </c>
      <c r="C347" t="s">
        <v>425</v>
      </c>
      <c r="D347" t="s">
        <v>25</v>
      </c>
      <c r="E347" t="s">
        <v>89</v>
      </c>
      <c r="F347" t="s">
        <v>32</v>
      </c>
      <c r="G347" t="s">
        <v>90</v>
      </c>
      <c r="H347" t="s">
        <v>39</v>
      </c>
      <c r="I347" t="s">
        <v>48</v>
      </c>
      <c r="J347">
        <v>1000</v>
      </c>
      <c r="K347">
        <v>1046</v>
      </c>
      <c r="L347">
        <v>30</v>
      </c>
      <c r="M347">
        <v>13</v>
      </c>
      <c r="N347">
        <v>1016</v>
      </c>
      <c r="O347">
        <v>69.099999999999994</v>
      </c>
      <c r="P347">
        <v>0.7</v>
      </c>
      <c r="Q347" t="s">
        <v>96</v>
      </c>
      <c r="R347" t="s">
        <v>81</v>
      </c>
      <c r="S347" t="s">
        <v>82</v>
      </c>
      <c r="T347">
        <v>7</v>
      </c>
      <c r="U347">
        <v>5</v>
      </c>
      <c r="V347" s="6">
        <v>242.98</v>
      </c>
      <c r="W347" s="6">
        <v>5197.88</v>
      </c>
      <c r="X347" t="s">
        <v>94</v>
      </c>
      <c r="Y347" s="7">
        <f t="shared" si="35"/>
        <v>2.8680688336520075E-2</v>
      </c>
      <c r="Z347" s="7">
        <f t="shared" si="36"/>
        <v>0.97131931166347996</v>
      </c>
      <c r="AA347">
        <f t="shared" si="37"/>
        <v>-46</v>
      </c>
      <c r="AB347" s="8">
        <f t="shared" si="38"/>
        <v>7289.4</v>
      </c>
      <c r="AC347">
        <f t="shared" si="39"/>
        <v>40.9</v>
      </c>
      <c r="AD347" t="str">
        <f t="shared" si="40"/>
        <v>Medium</v>
      </c>
      <c r="AE347" t="str">
        <f t="shared" si="41"/>
        <v>No</v>
      </c>
    </row>
    <row r="348" spans="1:31" x14ac:dyDescent="0.35">
      <c r="A348" t="s">
        <v>457</v>
      </c>
      <c r="B348" s="5">
        <v>46188</v>
      </c>
      <c r="C348" t="s">
        <v>425</v>
      </c>
      <c r="D348" t="s">
        <v>23</v>
      </c>
      <c r="E348" t="s">
        <v>78</v>
      </c>
      <c r="F348" t="s">
        <v>29</v>
      </c>
      <c r="G348" t="s">
        <v>90</v>
      </c>
      <c r="H348" t="s">
        <v>38</v>
      </c>
      <c r="I348" t="s">
        <v>46</v>
      </c>
      <c r="J348">
        <v>1446</v>
      </c>
      <c r="K348">
        <v>1297</v>
      </c>
      <c r="L348">
        <v>29</v>
      </c>
      <c r="M348">
        <v>15</v>
      </c>
      <c r="N348">
        <v>1149</v>
      </c>
      <c r="O348">
        <v>40.700000000000003</v>
      </c>
      <c r="P348">
        <v>11.9</v>
      </c>
      <c r="Q348" t="s">
        <v>80</v>
      </c>
      <c r="R348" t="s">
        <v>81</v>
      </c>
      <c r="S348" t="s">
        <v>82</v>
      </c>
      <c r="T348">
        <v>5</v>
      </c>
      <c r="U348">
        <v>5</v>
      </c>
      <c r="V348" s="6">
        <v>87.81</v>
      </c>
      <c r="W348" s="6">
        <v>1219.3699999999999</v>
      </c>
      <c r="X348" t="s">
        <v>87</v>
      </c>
      <c r="Y348" s="7">
        <f t="shared" si="35"/>
        <v>2.2359290670778721E-2</v>
      </c>
      <c r="Z348" s="7">
        <f t="shared" si="36"/>
        <v>0.88589051657671547</v>
      </c>
      <c r="AA348">
        <f t="shared" si="37"/>
        <v>149</v>
      </c>
      <c r="AB348" s="8">
        <f t="shared" si="38"/>
        <v>2546.4900000000002</v>
      </c>
      <c r="AC348">
        <f t="shared" si="39"/>
        <v>43</v>
      </c>
      <c r="AD348" t="str">
        <f t="shared" si="40"/>
        <v>Medium</v>
      </c>
      <c r="AE348" t="str">
        <f t="shared" si="41"/>
        <v>No</v>
      </c>
    </row>
    <row r="349" spans="1:31" x14ac:dyDescent="0.35">
      <c r="A349" t="s">
        <v>458</v>
      </c>
      <c r="B349" s="5">
        <v>46188</v>
      </c>
      <c r="C349" t="s">
        <v>425</v>
      </c>
      <c r="D349" t="s">
        <v>22</v>
      </c>
      <c r="E349" t="s">
        <v>93</v>
      </c>
      <c r="F349" t="s">
        <v>29</v>
      </c>
      <c r="G349" t="s">
        <v>85</v>
      </c>
      <c r="H349" t="s">
        <v>40</v>
      </c>
      <c r="I349" t="s">
        <v>45</v>
      </c>
      <c r="J349">
        <v>832</v>
      </c>
      <c r="K349">
        <v>808</v>
      </c>
      <c r="L349">
        <v>24</v>
      </c>
      <c r="M349">
        <v>19</v>
      </c>
      <c r="N349">
        <v>784</v>
      </c>
      <c r="O349">
        <v>74.900000000000006</v>
      </c>
      <c r="P349">
        <v>0</v>
      </c>
      <c r="Q349" t="s">
        <v>86</v>
      </c>
      <c r="R349" t="s">
        <v>81</v>
      </c>
      <c r="S349" t="s">
        <v>82</v>
      </c>
      <c r="T349">
        <v>3</v>
      </c>
      <c r="U349">
        <v>0</v>
      </c>
      <c r="V349" s="6">
        <v>434.56</v>
      </c>
      <c r="W349" s="6">
        <v>7849.47</v>
      </c>
      <c r="X349" t="s">
        <v>87</v>
      </c>
      <c r="Y349" s="7">
        <f t="shared" si="35"/>
        <v>2.9702970297029702E-2</v>
      </c>
      <c r="Z349" s="7">
        <f t="shared" si="36"/>
        <v>0.97029702970297027</v>
      </c>
      <c r="AA349">
        <f t="shared" si="37"/>
        <v>24</v>
      </c>
      <c r="AB349" s="8">
        <f t="shared" si="38"/>
        <v>10429.44</v>
      </c>
      <c r="AC349">
        <f t="shared" si="39"/>
        <v>49</v>
      </c>
      <c r="AD349" t="str">
        <f t="shared" si="40"/>
        <v>Medium</v>
      </c>
      <c r="AE349" t="str">
        <f t="shared" si="41"/>
        <v>Yes</v>
      </c>
    </row>
    <row r="350" spans="1:31" x14ac:dyDescent="0.35">
      <c r="A350" t="s">
        <v>459</v>
      </c>
      <c r="B350" s="5">
        <v>46188</v>
      </c>
      <c r="C350" t="s">
        <v>425</v>
      </c>
      <c r="D350" t="s">
        <v>22</v>
      </c>
      <c r="E350" t="s">
        <v>93</v>
      </c>
      <c r="F350" t="s">
        <v>30</v>
      </c>
      <c r="G350" t="s">
        <v>85</v>
      </c>
      <c r="H350" t="s">
        <v>38</v>
      </c>
      <c r="I350" t="s">
        <v>47</v>
      </c>
      <c r="J350">
        <v>1299</v>
      </c>
      <c r="K350">
        <v>1336</v>
      </c>
      <c r="L350">
        <v>51</v>
      </c>
      <c r="M350">
        <v>21</v>
      </c>
      <c r="N350">
        <v>1190</v>
      </c>
      <c r="O350">
        <v>62.6</v>
      </c>
      <c r="P350">
        <v>8</v>
      </c>
      <c r="Q350" t="s">
        <v>80</v>
      </c>
      <c r="R350" t="s">
        <v>81</v>
      </c>
      <c r="S350" t="s">
        <v>82</v>
      </c>
      <c r="T350">
        <v>7</v>
      </c>
      <c r="U350">
        <v>3</v>
      </c>
      <c r="V350" s="6">
        <v>184.96</v>
      </c>
      <c r="W350" s="6">
        <v>6492.17</v>
      </c>
      <c r="X350" t="s">
        <v>87</v>
      </c>
      <c r="Y350" s="7">
        <f t="shared" si="35"/>
        <v>3.8173652694610781E-2</v>
      </c>
      <c r="Z350" s="7">
        <f t="shared" si="36"/>
        <v>0.89071856287425155</v>
      </c>
      <c r="AA350">
        <f t="shared" si="37"/>
        <v>-37</v>
      </c>
      <c r="AB350" s="8">
        <f t="shared" si="38"/>
        <v>9432.9600000000009</v>
      </c>
      <c r="AC350">
        <f t="shared" si="39"/>
        <v>53.5</v>
      </c>
      <c r="AD350" t="str">
        <f t="shared" si="40"/>
        <v>Medium</v>
      </c>
      <c r="AE350" t="str">
        <f t="shared" si="41"/>
        <v>No</v>
      </c>
    </row>
    <row r="351" spans="1:31" x14ac:dyDescent="0.35">
      <c r="A351" t="s">
        <v>460</v>
      </c>
      <c r="B351" s="5">
        <v>46188</v>
      </c>
      <c r="C351" t="s">
        <v>425</v>
      </c>
      <c r="D351" t="s">
        <v>23</v>
      </c>
      <c r="E351" t="s">
        <v>78</v>
      </c>
      <c r="F351" t="s">
        <v>27</v>
      </c>
      <c r="G351" t="s">
        <v>85</v>
      </c>
      <c r="H351" t="s">
        <v>38</v>
      </c>
      <c r="I351" t="s">
        <v>44</v>
      </c>
      <c r="J351">
        <v>802</v>
      </c>
      <c r="K351">
        <v>736</v>
      </c>
      <c r="L351">
        <v>27</v>
      </c>
      <c r="M351">
        <v>12</v>
      </c>
      <c r="N351">
        <v>730</v>
      </c>
      <c r="O351">
        <v>22.2</v>
      </c>
      <c r="P351">
        <v>7.9</v>
      </c>
      <c r="Q351" t="s">
        <v>86</v>
      </c>
      <c r="R351" t="s">
        <v>81</v>
      </c>
      <c r="S351" t="s">
        <v>138</v>
      </c>
      <c r="T351">
        <v>6</v>
      </c>
      <c r="U351">
        <v>3</v>
      </c>
      <c r="V351" s="6">
        <v>335.28</v>
      </c>
      <c r="W351" s="6">
        <v>6474.94</v>
      </c>
      <c r="X351" t="s">
        <v>110</v>
      </c>
      <c r="Y351" s="7">
        <f t="shared" si="35"/>
        <v>3.6684782608695655E-2</v>
      </c>
      <c r="Z351" s="7">
        <f t="shared" si="36"/>
        <v>0.99184782608695654</v>
      </c>
      <c r="AA351">
        <f t="shared" si="37"/>
        <v>66</v>
      </c>
      <c r="AB351" s="8">
        <f t="shared" si="38"/>
        <v>9052.56</v>
      </c>
      <c r="AC351">
        <f t="shared" si="39"/>
        <v>77.3</v>
      </c>
      <c r="AD351" t="str">
        <f t="shared" si="40"/>
        <v>High</v>
      </c>
      <c r="AE351" t="str">
        <f t="shared" si="41"/>
        <v>Yes</v>
      </c>
    </row>
    <row r="352" spans="1:31" x14ac:dyDescent="0.35">
      <c r="A352" t="s">
        <v>461</v>
      </c>
      <c r="B352" s="5">
        <v>46188</v>
      </c>
      <c r="C352" t="s">
        <v>425</v>
      </c>
      <c r="D352" t="s">
        <v>20</v>
      </c>
      <c r="E352" t="s">
        <v>78</v>
      </c>
      <c r="F352" t="s">
        <v>27</v>
      </c>
      <c r="G352" t="s">
        <v>90</v>
      </c>
      <c r="H352" t="s">
        <v>37</v>
      </c>
      <c r="I352" t="s">
        <v>44</v>
      </c>
      <c r="J352">
        <v>1278</v>
      </c>
      <c r="K352">
        <v>1352</v>
      </c>
      <c r="L352">
        <v>35</v>
      </c>
      <c r="M352">
        <v>16</v>
      </c>
      <c r="N352">
        <v>1212</v>
      </c>
      <c r="O352">
        <v>56.8</v>
      </c>
      <c r="P352">
        <v>15.9</v>
      </c>
      <c r="Q352" t="s">
        <v>80</v>
      </c>
      <c r="R352" t="s">
        <v>81</v>
      </c>
      <c r="S352" t="s">
        <v>82</v>
      </c>
      <c r="T352">
        <v>7</v>
      </c>
      <c r="U352">
        <v>5</v>
      </c>
      <c r="V352" s="6">
        <v>194.07</v>
      </c>
      <c r="W352" s="6">
        <v>4304.2299999999996</v>
      </c>
      <c r="X352" t="s">
        <v>110</v>
      </c>
      <c r="Y352" s="7">
        <f t="shared" si="35"/>
        <v>2.5887573964497042E-2</v>
      </c>
      <c r="Z352" s="7">
        <f t="shared" si="36"/>
        <v>0.89644970414201186</v>
      </c>
      <c r="AA352">
        <f t="shared" si="37"/>
        <v>-74</v>
      </c>
      <c r="AB352" s="8">
        <f t="shared" si="38"/>
        <v>6792.45</v>
      </c>
      <c r="AC352">
        <f t="shared" si="39"/>
        <v>51.2</v>
      </c>
      <c r="AD352" t="str">
        <f t="shared" si="40"/>
        <v>Medium</v>
      </c>
      <c r="AE352" t="str">
        <f t="shared" si="41"/>
        <v>No</v>
      </c>
    </row>
    <row r="353" spans="1:31" x14ac:dyDescent="0.35">
      <c r="A353" t="s">
        <v>462</v>
      </c>
      <c r="B353" s="5">
        <v>46188</v>
      </c>
      <c r="C353" t="s">
        <v>425</v>
      </c>
      <c r="D353" t="s">
        <v>25</v>
      </c>
      <c r="E353" t="s">
        <v>89</v>
      </c>
      <c r="F353" t="s">
        <v>30</v>
      </c>
      <c r="G353" t="s">
        <v>79</v>
      </c>
      <c r="H353" t="s">
        <v>34</v>
      </c>
      <c r="I353" t="s">
        <v>46</v>
      </c>
      <c r="J353">
        <v>1235</v>
      </c>
      <c r="K353">
        <v>1220</v>
      </c>
      <c r="L353">
        <v>25</v>
      </c>
      <c r="M353">
        <v>18</v>
      </c>
      <c r="N353">
        <v>1137</v>
      </c>
      <c r="O353">
        <v>48.1</v>
      </c>
      <c r="P353">
        <v>6.4</v>
      </c>
      <c r="Q353" t="s">
        <v>80</v>
      </c>
      <c r="R353" t="s">
        <v>81</v>
      </c>
      <c r="S353" t="s">
        <v>82</v>
      </c>
      <c r="T353">
        <v>5</v>
      </c>
      <c r="U353">
        <v>2</v>
      </c>
      <c r="V353" s="6">
        <v>128.08000000000001</v>
      </c>
      <c r="W353" s="6">
        <v>1264.97</v>
      </c>
      <c r="X353" t="s">
        <v>87</v>
      </c>
      <c r="Y353" s="7">
        <f t="shared" si="35"/>
        <v>2.0491803278688523E-2</v>
      </c>
      <c r="Z353" s="7">
        <f t="shared" si="36"/>
        <v>0.93196721311475406</v>
      </c>
      <c r="AA353">
        <f t="shared" si="37"/>
        <v>15</v>
      </c>
      <c r="AB353" s="8">
        <f t="shared" si="38"/>
        <v>3202.0000000000005</v>
      </c>
      <c r="AC353">
        <f t="shared" si="39"/>
        <v>31.9</v>
      </c>
      <c r="AD353" t="str">
        <f t="shared" si="40"/>
        <v>Low</v>
      </c>
      <c r="AE353" t="str">
        <f t="shared" si="41"/>
        <v>No</v>
      </c>
    </row>
    <row r="354" spans="1:31" x14ac:dyDescent="0.35">
      <c r="A354" t="s">
        <v>463</v>
      </c>
      <c r="B354" s="5">
        <v>46188</v>
      </c>
      <c r="C354" t="s">
        <v>425</v>
      </c>
      <c r="D354" t="s">
        <v>24</v>
      </c>
      <c r="E354" t="s">
        <v>78</v>
      </c>
      <c r="F354" t="s">
        <v>29</v>
      </c>
      <c r="G354" t="s">
        <v>79</v>
      </c>
      <c r="H354" t="s">
        <v>38</v>
      </c>
      <c r="I354" t="s">
        <v>47</v>
      </c>
      <c r="J354">
        <v>975</v>
      </c>
      <c r="K354">
        <v>941</v>
      </c>
      <c r="L354">
        <v>29</v>
      </c>
      <c r="M354">
        <v>11</v>
      </c>
      <c r="N354">
        <v>939</v>
      </c>
      <c r="O354">
        <v>65.7</v>
      </c>
      <c r="P354">
        <v>9.5</v>
      </c>
      <c r="Q354" t="s">
        <v>80</v>
      </c>
      <c r="R354" t="s">
        <v>81</v>
      </c>
      <c r="S354" t="s">
        <v>82</v>
      </c>
      <c r="T354">
        <v>10</v>
      </c>
      <c r="U354">
        <v>5</v>
      </c>
      <c r="V354" s="6">
        <v>35.11</v>
      </c>
      <c r="W354" s="6">
        <v>457.52</v>
      </c>
      <c r="X354" t="s">
        <v>151</v>
      </c>
      <c r="Y354" s="7">
        <f t="shared" si="35"/>
        <v>3.0818278427205102E-2</v>
      </c>
      <c r="Z354" s="7">
        <f t="shared" si="36"/>
        <v>0.99787460148777896</v>
      </c>
      <c r="AA354">
        <f t="shared" si="37"/>
        <v>34</v>
      </c>
      <c r="AB354" s="8">
        <f t="shared" si="38"/>
        <v>1018.1899999999999</v>
      </c>
      <c r="AC354">
        <f t="shared" si="39"/>
        <v>43.3</v>
      </c>
      <c r="AD354" t="str">
        <f t="shared" si="40"/>
        <v>Medium</v>
      </c>
      <c r="AE354" t="str">
        <f t="shared" si="41"/>
        <v>No</v>
      </c>
    </row>
    <row r="355" spans="1:31" x14ac:dyDescent="0.35">
      <c r="A355" t="s">
        <v>464</v>
      </c>
      <c r="B355" s="5">
        <v>46188</v>
      </c>
      <c r="C355" t="s">
        <v>425</v>
      </c>
      <c r="D355" t="s">
        <v>22</v>
      </c>
      <c r="E355" t="s">
        <v>93</v>
      </c>
      <c r="F355" t="s">
        <v>31</v>
      </c>
      <c r="G355" t="s">
        <v>90</v>
      </c>
      <c r="H355" t="s">
        <v>39</v>
      </c>
      <c r="I355" t="s">
        <v>48</v>
      </c>
      <c r="J355">
        <v>958</v>
      </c>
      <c r="K355">
        <v>936</v>
      </c>
      <c r="L355">
        <v>21</v>
      </c>
      <c r="M355">
        <v>13</v>
      </c>
      <c r="N355">
        <v>927</v>
      </c>
      <c r="O355">
        <v>65.7</v>
      </c>
      <c r="P355">
        <v>4.5</v>
      </c>
      <c r="Q355" t="s">
        <v>80</v>
      </c>
      <c r="R355" t="s">
        <v>81</v>
      </c>
      <c r="S355" t="s">
        <v>82</v>
      </c>
      <c r="T355">
        <v>2</v>
      </c>
      <c r="U355">
        <v>4</v>
      </c>
      <c r="V355" s="6">
        <v>402.22</v>
      </c>
      <c r="W355" s="6">
        <v>5706.92</v>
      </c>
      <c r="X355" t="s">
        <v>87</v>
      </c>
      <c r="Y355" s="7">
        <f t="shared" si="35"/>
        <v>2.2435897435897436E-2</v>
      </c>
      <c r="Z355" s="7">
        <f t="shared" si="36"/>
        <v>0.99038461538461542</v>
      </c>
      <c r="AA355">
        <f t="shared" si="37"/>
        <v>22</v>
      </c>
      <c r="AB355" s="8">
        <f t="shared" si="38"/>
        <v>8446.6200000000008</v>
      </c>
      <c r="AC355">
        <f t="shared" si="39"/>
        <v>28.7</v>
      </c>
      <c r="AD355" t="str">
        <f t="shared" si="40"/>
        <v>Low</v>
      </c>
      <c r="AE355" t="str">
        <f t="shared" si="41"/>
        <v>No</v>
      </c>
    </row>
    <row r="356" spans="1:31" x14ac:dyDescent="0.35">
      <c r="A356" t="s">
        <v>465</v>
      </c>
      <c r="B356" s="5">
        <v>46188</v>
      </c>
      <c r="C356" t="s">
        <v>425</v>
      </c>
      <c r="D356" t="s">
        <v>22</v>
      </c>
      <c r="E356" t="s">
        <v>93</v>
      </c>
      <c r="F356" t="s">
        <v>29</v>
      </c>
      <c r="G356" t="s">
        <v>79</v>
      </c>
      <c r="H356" t="s">
        <v>37</v>
      </c>
      <c r="I356" t="s">
        <v>46</v>
      </c>
      <c r="J356">
        <v>1478</v>
      </c>
      <c r="K356">
        <v>1389</v>
      </c>
      <c r="L356">
        <v>17</v>
      </c>
      <c r="M356">
        <v>10</v>
      </c>
      <c r="N356">
        <v>1280</v>
      </c>
      <c r="O356">
        <v>52.3</v>
      </c>
      <c r="P356">
        <v>17.8</v>
      </c>
      <c r="Q356" t="s">
        <v>80</v>
      </c>
      <c r="R356" t="s">
        <v>81</v>
      </c>
      <c r="S356" t="s">
        <v>82</v>
      </c>
      <c r="T356">
        <v>6</v>
      </c>
      <c r="U356">
        <v>0</v>
      </c>
      <c r="V356" s="6">
        <v>110.73</v>
      </c>
      <c r="W356" s="6">
        <v>619.87</v>
      </c>
      <c r="X356" t="s">
        <v>94</v>
      </c>
      <c r="Y356" s="7">
        <f t="shared" si="35"/>
        <v>1.2239020878329733E-2</v>
      </c>
      <c r="Z356" s="7">
        <f t="shared" si="36"/>
        <v>0.9215262778977682</v>
      </c>
      <c r="AA356">
        <f t="shared" si="37"/>
        <v>89</v>
      </c>
      <c r="AB356" s="8">
        <f t="shared" si="38"/>
        <v>1882.41</v>
      </c>
      <c r="AC356">
        <f t="shared" si="39"/>
        <v>38.9</v>
      </c>
      <c r="AD356" t="str">
        <f t="shared" si="40"/>
        <v>Low</v>
      </c>
      <c r="AE356" t="str">
        <f t="shared" si="41"/>
        <v>No</v>
      </c>
    </row>
    <row r="357" spans="1:31" x14ac:dyDescent="0.35">
      <c r="A357" t="s">
        <v>466</v>
      </c>
      <c r="B357" s="5">
        <v>46188</v>
      </c>
      <c r="C357" t="s">
        <v>425</v>
      </c>
      <c r="D357" t="s">
        <v>24</v>
      </c>
      <c r="E357" t="s">
        <v>78</v>
      </c>
      <c r="F357" t="s">
        <v>32</v>
      </c>
      <c r="G357" t="s">
        <v>90</v>
      </c>
      <c r="H357" t="s">
        <v>38</v>
      </c>
      <c r="I357" t="s">
        <v>42</v>
      </c>
      <c r="J357">
        <v>1145</v>
      </c>
      <c r="K357">
        <v>1252</v>
      </c>
      <c r="L357">
        <v>27</v>
      </c>
      <c r="M357">
        <v>10</v>
      </c>
      <c r="N357">
        <v>1126</v>
      </c>
      <c r="O357">
        <v>19.3</v>
      </c>
      <c r="P357">
        <v>13</v>
      </c>
      <c r="Q357" t="s">
        <v>80</v>
      </c>
      <c r="R357" t="s">
        <v>81</v>
      </c>
      <c r="S357" t="s">
        <v>82</v>
      </c>
      <c r="T357">
        <v>7</v>
      </c>
      <c r="U357">
        <v>4</v>
      </c>
      <c r="V357" s="6">
        <v>422.79</v>
      </c>
      <c r="W357" s="6">
        <v>3602.98</v>
      </c>
      <c r="X357" t="s">
        <v>121</v>
      </c>
      <c r="Y357" s="7">
        <f t="shared" si="35"/>
        <v>2.1565495207667731E-2</v>
      </c>
      <c r="Z357" s="7">
        <f t="shared" si="36"/>
        <v>0.89936102236421722</v>
      </c>
      <c r="AA357">
        <f t="shared" si="37"/>
        <v>-107</v>
      </c>
      <c r="AB357" s="8">
        <f t="shared" si="38"/>
        <v>11415.33</v>
      </c>
      <c r="AC357">
        <f t="shared" si="39"/>
        <v>43</v>
      </c>
      <c r="AD357" t="str">
        <f t="shared" si="40"/>
        <v>Medium</v>
      </c>
      <c r="AE357" t="str">
        <f t="shared" si="41"/>
        <v>No</v>
      </c>
    </row>
    <row r="358" spans="1:31" x14ac:dyDescent="0.35">
      <c r="A358" t="s">
        <v>467</v>
      </c>
      <c r="B358" s="5">
        <v>46188</v>
      </c>
      <c r="C358" t="s">
        <v>425</v>
      </c>
      <c r="D358" t="s">
        <v>24</v>
      </c>
      <c r="E358" t="s">
        <v>78</v>
      </c>
      <c r="F358" t="s">
        <v>30</v>
      </c>
      <c r="G358" t="s">
        <v>85</v>
      </c>
      <c r="H358" t="s">
        <v>37</v>
      </c>
      <c r="I358" t="s">
        <v>45</v>
      </c>
      <c r="J358">
        <v>1217</v>
      </c>
      <c r="K358">
        <v>1221</v>
      </c>
      <c r="L358">
        <v>36</v>
      </c>
      <c r="M358">
        <v>13</v>
      </c>
      <c r="N358">
        <v>1190</v>
      </c>
      <c r="O358">
        <v>75.8</v>
      </c>
      <c r="P358">
        <v>10.1</v>
      </c>
      <c r="Q358" t="s">
        <v>80</v>
      </c>
      <c r="R358" t="s">
        <v>81</v>
      </c>
      <c r="S358" t="s">
        <v>82</v>
      </c>
      <c r="T358">
        <v>7</v>
      </c>
      <c r="U358">
        <v>2</v>
      </c>
      <c r="V358" s="6">
        <v>138.99</v>
      </c>
      <c r="W358" s="6">
        <v>1330.29</v>
      </c>
      <c r="X358" t="s">
        <v>87</v>
      </c>
      <c r="Y358" s="7">
        <f t="shared" si="35"/>
        <v>2.9484029484029485E-2</v>
      </c>
      <c r="Z358" s="7">
        <f t="shared" si="36"/>
        <v>0.97461097461097457</v>
      </c>
      <c r="AA358">
        <f t="shared" si="37"/>
        <v>-4</v>
      </c>
      <c r="AB358" s="8">
        <f t="shared" si="38"/>
        <v>5003.6400000000003</v>
      </c>
      <c r="AC358">
        <f t="shared" si="39"/>
        <v>43.8</v>
      </c>
      <c r="AD358" t="str">
        <f t="shared" si="40"/>
        <v>Medium</v>
      </c>
      <c r="AE358" t="str">
        <f t="shared" si="41"/>
        <v>No</v>
      </c>
    </row>
    <row r="359" spans="1:31" x14ac:dyDescent="0.35">
      <c r="A359" t="s">
        <v>468</v>
      </c>
      <c r="B359" s="5">
        <v>46188</v>
      </c>
      <c r="C359" t="s">
        <v>425</v>
      </c>
      <c r="D359" t="s">
        <v>25</v>
      </c>
      <c r="E359" t="s">
        <v>89</v>
      </c>
      <c r="F359" t="s">
        <v>27</v>
      </c>
      <c r="G359" t="s">
        <v>90</v>
      </c>
      <c r="H359" t="s">
        <v>36</v>
      </c>
      <c r="I359" t="s">
        <v>44</v>
      </c>
      <c r="J359">
        <v>1027</v>
      </c>
      <c r="K359">
        <v>1008</v>
      </c>
      <c r="L359">
        <v>16</v>
      </c>
      <c r="M359">
        <v>11</v>
      </c>
      <c r="N359">
        <v>931</v>
      </c>
      <c r="O359">
        <v>62.3</v>
      </c>
      <c r="P359">
        <v>0.3</v>
      </c>
      <c r="Q359" t="s">
        <v>80</v>
      </c>
      <c r="R359" t="s">
        <v>81</v>
      </c>
      <c r="S359" t="s">
        <v>82</v>
      </c>
      <c r="T359">
        <v>3</v>
      </c>
      <c r="U359">
        <v>3</v>
      </c>
      <c r="V359" s="6">
        <v>419.64</v>
      </c>
      <c r="W359" s="6">
        <v>2566.35</v>
      </c>
      <c r="X359" t="s">
        <v>87</v>
      </c>
      <c r="Y359" s="7">
        <f t="shared" si="35"/>
        <v>1.5873015873015872E-2</v>
      </c>
      <c r="Z359" s="7">
        <f t="shared" si="36"/>
        <v>0.92361111111111116</v>
      </c>
      <c r="AA359">
        <f t="shared" si="37"/>
        <v>19</v>
      </c>
      <c r="AB359" s="8">
        <f t="shared" si="38"/>
        <v>6714.24</v>
      </c>
      <c r="AC359">
        <f t="shared" si="39"/>
        <v>19.7</v>
      </c>
      <c r="AD359" t="str">
        <f t="shared" si="40"/>
        <v>Low</v>
      </c>
      <c r="AE359" t="str">
        <f t="shared" si="41"/>
        <v>No</v>
      </c>
    </row>
    <row r="360" spans="1:31" x14ac:dyDescent="0.35">
      <c r="A360" t="s">
        <v>469</v>
      </c>
      <c r="B360" s="5">
        <v>46188</v>
      </c>
      <c r="C360" t="s">
        <v>425</v>
      </c>
      <c r="D360" t="s">
        <v>20</v>
      </c>
      <c r="E360" t="s">
        <v>78</v>
      </c>
      <c r="F360" t="s">
        <v>30</v>
      </c>
      <c r="G360" t="s">
        <v>79</v>
      </c>
      <c r="H360" t="s">
        <v>37</v>
      </c>
      <c r="I360" t="s">
        <v>47</v>
      </c>
      <c r="J360">
        <v>1482</v>
      </c>
      <c r="K360">
        <v>1512</v>
      </c>
      <c r="L360">
        <v>13</v>
      </c>
      <c r="M360">
        <v>10</v>
      </c>
      <c r="N360">
        <v>1351</v>
      </c>
      <c r="O360">
        <v>42.3</v>
      </c>
      <c r="P360">
        <v>8.8000000000000007</v>
      </c>
      <c r="Q360" t="s">
        <v>96</v>
      </c>
      <c r="R360" t="s">
        <v>81</v>
      </c>
      <c r="S360" t="s">
        <v>82</v>
      </c>
      <c r="T360">
        <v>2</v>
      </c>
      <c r="U360">
        <v>0</v>
      </c>
      <c r="V360" s="6">
        <v>135.63999999999999</v>
      </c>
      <c r="W360" s="6">
        <v>447.11</v>
      </c>
      <c r="X360" t="s">
        <v>94</v>
      </c>
      <c r="Y360" s="7">
        <f t="shared" si="35"/>
        <v>8.5978835978835974E-3</v>
      </c>
      <c r="Z360" s="7">
        <f t="shared" si="36"/>
        <v>0.89351851851851849</v>
      </c>
      <c r="AA360">
        <f t="shared" si="37"/>
        <v>-30</v>
      </c>
      <c r="AB360" s="8">
        <f t="shared" si="38"/>
        <v>1763.3199999999997</v>
      </c>
      <c r="AC360">
        <f t="shared" si="39"/>
        <v>34.799999999999997</v>
      </c>
      <c r="AD360" t="str">
        <f t="shared" si="40"/>
        <v>Low</v>
      </c>
      <c r="AE360" t="str">
        <f t="shared" si="41"/>
        <v>No</v>
      </c>
    </row>
    <row r="361" spans="1:31" x14ac:dyDescent="0.35">
      <c r="A361" t="s">
        <v>470</v>
      </c>
      <c r="B361" s="5">
        <v>46188</v>
      </c>
      <c r="C361" t="s">
        <v>425</v>
      </c>
      <c r="D361" t="s">
        <v>23</v>
      </c>
      <c r="E361" t="s">
        <v>78</v>
      </c>
      <c r="F361" t="s">
        <v>27</v>
      </c>
      <c r="G361" t="s">
        <v>90</v>
      </c>
      <c r="H361" t="s">
        <v>39</v>
      </c>
      <c r="I361" t="s">
        <v>48</v>
      </c>
      <c r="J361">
        <v>868</v>
      </c>
      <c r="K361">
        <v>868</v>
      </c>
      <c r="L361">
        <v>13</v>
      </c>
      <c r="M361">
        <v>7</v>
      </c>
      <c r="N361">
        <v>815</v>
      </c>
      <c r="O361">
        <v>53.8</v>
      </c>
      <c r="P361">
        <v>5.7</v>
      </c>
      <c r="Q361" t="s">
        <v>96</v>
      </c>
      <c r="R361" t="s">
        <v>81</v>
      </c>
      <c r="S361" t="s">
        <v>82</v>
      </c>
      <c r="T361">
        <v>3</v>
      </c>
      <c r="U361">
        <v>0</v>
      </c>
      <c r="V361" s="6">
        <v>191.98</v>
      </c>
      <c r="W361" s="6">
        <v>1693.66</v>
      </c>
      <c r="X361" t="s">
        <v>87</v>
      </c>
      <c r="Y361" s="7">
        <f t="shared" si="35"/>
        <v>1.4976958525345621E-2</v>
      </c>
      <c r="Z361" s="7">
        <f t="shared" si="36"/>
        <v>0.93894009216589858</v>
      </c>
      <c r="AA361">
        <f t="shared" si="37"/>
        <v>0</v>
      </c>
      <c r="AB361" s="8">
        <f t="shared" si="38"/>
        <v>2495.7399999999998</v>
      </c>
      <c r="AC361">
        <f t="shared" si="39"/>
        <v>35.1</v>
      </c>
      <c r="AD361" t="str">
        <f t="shared" si="40"/>
        <v>Low</v>
      </c>
      <c r="AE361" t="str">
        <f t="shared" si="41"/>
        <v>No</v>
      </c>
    </row>
    <row r="362" spans="1:31" x14ac:dyDescent="0.35">
      <c r="A362" t="s">
        <v>471</v>
      </c>
      <c r="B362" s="5">
        <v>46195</v>
      </c>
      <c r="C362" t="s">
        <v>425</v>
      </c>
      <c r="D362" t="s">
        <v>20</v>
      </c>
      <c r="E362" t="s">
        <v>78</v>
      </c>
      <c r="F362" t="s">
        <v>31</v>
      </c>
      <c r="G362" t="s">
        <v>79</v>
      </c>
      <c r="H362" t="s">
        <v>39</v>
      </c>
      <c r="I362" t="s">
        <v>47</v>
      </c>
      <c r="J362">
        <v>1171</v>
      </c>
      <c r="K362">
        <v>1175</v>
      </c>
      <c r="L362">
        <v>39</v>
      </c>
      <c r="M362">
        <v>19</v>
      </c>
      <c r="N362">
        <v>1050</v>
      </c>
      <c r="O362">
        <v>47.6</v>
      </c>
      <c r="P362">
        <v>16.100000000000001</v>
      </c>
      <c r="Q362" t="s">
        <v>80</v>
      </c>
      <c r="R362" t="s">
        <v>81</v>
      </c>
      <c r="S362" t="s">
        <v>82</v>
      </c>
      <c r="T362">
        <v>5</v>
      </c>
      <c r="U362">
        <v>8</v>
      </c>
      <c r="V362" s="6">
        <v>219.49</v>
      </c>
      <c r="W362" s="6">
        <v>4225.8500000000004</v>
      </c>
      <c r="X362" t="s">
        <v>115</v>
      </c>
      <c r="Y362" s="7">
        <f t="shared" si="35"/>
        <v>3.3191489361702124E-2</v>
      </c>
      <c r="Z362" s="7">
        <f t="shared" si="36"/>
        <v>0.8936170212765957</v>
      </c>
      <c r="AA362">
        <f t="shared" si="37"/>
        <v>-4</v>
      </c>
      <c r="AB362" s="8">
        <f t="shared" si="38"/>
        <v>8560.11</v>
      </c>
      <c r="AC362">
        <f t="shared" si="39"/>
        <v>58.9</v>
      </c>
      <c r="AD362" t="str">
        <f t="shared" si="40"/>
        <v>Medium</v>
      </c>
      <c r="AE362" t="str">
        <f t="shared" si="41"/>
        <v>No</v>
      </c>
    </row>
    <row r="363" spans="1:31" x14ac:dyDescent="0.35">
      <c r="A363" t="s">
        <v>472</v>
      </c>
      <c r="B363" s="5">
        <v>46195</v>
      </c>
      <c r="C363" t="s">
        <v>425</v>
      </c>
      <c r="D363" t="s">
        <v>25</v>
      </c>
      <c r="E363" t="s">
        <v>89</v>
      </c>
      <c r="F363" t="s">
        <v>29</v>
      </c>
      <c r="G363" t="s">
        <v>79</v>
      </c>
      <c r="H363" t="s">
        <v>36</v>
      </c>
      <c r="I363" t="s">
        <v>45</v>
      </c>
      <c r="J363">
        <v>1410</v>
      </c>
      <c r="K363">
        <v>1298</v>
      </c>
      <c r="L363">
        <v>28</v>
      </c>
      <c r="M363">
        <v>23</v>
      </c>
      <c r="N363">
        <v>1152</v>
      </c>
      <c r="O363">
        <v>45.8</v>
      </c>
      <c r="P363">
        <v>0.9</v>
      </c>
      <c r="Q363" t="s">
        <v>80</v>
      </c>
      <c r="R363" t="s">
        <v>81</v>
      </c>
      <c r="S363" t="s">
        <v>138</v>
      </c>
      <c r="T363">
        <v>3</v>
      </c>
      <c r="U363">
        <v>2</v>
      </c>
      <c r="V363" s="6">
        <v>164.18</v>
      </c>
      <c r="W363" s="6">
        <v>3162.43</v>
      </c>
      <c r="X363" t="s">
        <v>87</v>
      </c>
      <c r="Y363" s="7">
        <f t="shared" si="35"/>
        <v>2.1571648690292759E-2</v>
      </c>
      <c r="Z363" s="7">
        <f t="shared" si="36"/>
        <v>0.88751926040061635</v>
      </c>
      <c r="AA363">
        <f t="shared" si="37"/>
        <v>112</v>
      </c>
      <c r="AB363" s="8">
        <f t="shared" si="38"/>
        <v>4597.04</v>
      </c>
      <c r="AC363">
        <f t="shared" si="39"/>
        <v>39.799999999999997</v>
      </c>
      <c r="AD363" t="str">
        <f t="shared" si="40"/>
        <v>Low</v>
      </c>
      <c r="AE363" t="str">
        <f t="shared" si="41"/>
        <v>Yes</v>
      </c>
    </row>
    <row r="364" spans="1:31" x14ac:dyDescent="0.35">
      <c r="A364" t="s">
        <v>473</v>
      </c>
      <c r="B364" s="5">
        <v>46195</v>
      </c>
      <c r="C364" t="s">
        <v>425</v>
      </c>
      <c r="D364" t="s">
        <v>23</v>
      </c>
      <c r="E364" t="s">
        <v>78</v>
      </c>
      <c r="F364" t="s">
        <v>31</v>
      </c>
      <c r="G364" t="s">
        <v>90</v>
      </c>
      <c r="H364" t="s">
        <v>38</v>
      </c>
      <c r="I364" t="s">
        <v>48</v>
      </c>
      <c r="J364">
        <v>1057</v>
      </c>
      <c r="K364">
        <v>1071</v>
      </c>
      <c r="L364">
        <v>42</v>
      </c>
      <c r="M364">
        <v>27</v>
      </c>
      <c r="N364">
        <v>977</v>
      </c>
      <c r="O364">
        <v>48.9</v>
      </c>
      <c r="P364">
        <v>0</v>
      </c>
      <c r="Q364" t="s">
        <v>80</v>
      </c>
      <c r="R364" t="s">
        <v>81</v>
      </c>
      <c r="S364" t="s">
        <v>82</v>
      </c>
      <c r="T364">
        <v>4</v>
      </c>
      <c r="U364">
        <v>7</v>
      </c>
      <c r="V364" s="6">
        <v>284.83</v>
      </c>
      <c r="W364" s="6">
        <v>7189.62</v>
      </c>
      <c r="X364" t="s">
        <v>83</v>
      </c>
      <c r="Y364" s="7">
        <f t="shared" si="35"/>
        <v>3.9215686274509803E-2</v>
      </c>
      <c r="Z364" s="7">
        <f t="shared" si="36"/>
        <v>0.9122315592903828</v>
      </c>
      <c r="AA364">
        <f t="shared" si="37"/>
        <v>-14</v>
      </c>
      <c r="AB364" s="8">
        <f t="shared" si="38"/>
        <v>11962.859999999999</v>
      </c>
      <c r="AC364">
        <f t="shared" si="39"/>
        <v>43.2</v>
      </c>
      <c r="AD364" t="str">
        <f t="shared" si="40"/>
        <v>Medium</v>
      </c>
      <c r="AE364" t="str">
        <f t="shared" si="41"/>
        <v>No</v>
      </c>
    </row>
    <row r="365" spans="1:31" x14ac:dyDescent="0.35">
      <c r="A365" t="s">
        <v>474</v>
      </c>
      <c r="B365" s="5">
        <v>46195</v>
      </c>
      <c r="C365" t="s">
        <v>425</v>
      </c>
      <c r="D365" t="s">
        <v>22</v>
      </c>
      <c r="E365" t="s">
        <v>93</v>
      </c>
      <c r="F365" t="s">
        <v>27</v>
      </c>
      <c r="G365" t="s">
        <v>90</v>
      </c>
      <c r="H365" t="s">
        <v>37</v>
      </c>
      <c r="I365" t="s">
        <v>44</v>
      </c>
      <c r="J365">
        <v>986</v>
      </c>
      <c r="K365">
        <v>934</v>
      </c>
      <c r="L365">
        <v>11</v>
      </c>
      <c r="M365">
        <v>8</v>
      </c>
      <c r="N365">
        <v>843</v>
      </c>
      <c r="O365">
        <v>56.7</v>
      </c>
      <c r="P365">
        <v>8.9</v>
      </c>
      <c r="Q365" t="s">
        <v>80</v>
      </c>
      <c r="R365" t="s">
        <v>81</v>
      </c>
      <c r="S365" t="s">
        <v>82</v>
      </c>
      <c r="T365">
        <v>5</v>
      </c>
      <c r="U365">
        <v>0</v>
      </c>
      <c r="V365" s="6">
        <v>232.76</v>
      </c>
      <c r="W365" s="6">
        <v>1803.03</v>
      </c>
      <c r="X365" t="s">
        <v>110</v>
      </c>
      <c r="Y365" s="7">
        <f t="shared" si="35"/>
        <v>1.1777301927194861E-2</v>
      </c>
      <c r="Z365" s="7">
        <f t="shared" si="36"/>
        <v>0.90256959314775165</v>
      </c>
      <c r="AA365">
        <f t="shared" si="37"/>
        <v>52</v>
      </c>
      <c r="AB365" s="8">
        <f t="shared" si="38"/>
        <v>2560.3599999999997</v>
      </c>
      <c r="AC365">
        <f t="shared" si="39"/>
        <v>27.7</v>
      </c>
      <c r="AD365" t="str">
        <f t="shared" si="40"/>
        <v>Low</v>
      </c>
      <c r="AE365" t="str">
        <f t="shared" si="41"/>
        <v>No</v>
      </c>
    </row>
    <row r="366" spans="1:31" x14ac:dyDescent="0.35">
      <c r="A366" t="s">
        <v>475</v>
      </c>
      <c r="B366" s="5">
        <v>46195</v>
      </c>
      <c r="C366" t="s">
        <v>425</v>
      </c>
      <c r="D366" t="s">
        <v>24</v>
      </c>
      <c r="E366" t="s">
        <v>78</v>
      </c>
      <c r="F366" t="s">
        <v>32</v>
      </c>
      <c r="G366" t="s">
        <v>90</v>
      </c>
      <c r="H366" t="s">
        <v>36</v>
      </c>
      <c r="I366" t="s">
        <v>46</v>
      </c>
      <c r="J366">
        <v>1465</v>
      </c>
      <c r="K366">
        <v>1500</v>
      </c>
      <c r="L366">
        <v>18</v>
      </c>
      <c r="M366">
        <v>13</v>
      </c>
      <c r="N366">
        <v>1494</v>
      </c>
      <c r="O366">
        <v>20.2</v>
      </c>
      <c r="P366">
        <v>0.8</v>
      </c>
      <c r="Q366" t="s">
        <v>80</v>
      </c>
      <c r="R366" t="s">
        <v>81</v>
      </c>
      <c r="S366" t="s">
        <v>82</v>
      </c>
      <c r="T366">
        <v>3</v>
      </c>
      <c r="U366">
        <v>2</v>
      </c>
      <c r="V366" s="6">
        <v>209.99</v>
      </c>
      <c r="W366" s="6">
        <v>1873.85</v>
      </c>
      <c r="X366" t="s">
        <v>94</v>
      </c>
      <c r="Y366" s="7">
        <f t="shared" si="35"/>
        <v>1.2E-2</v>
      </c>
      <c r="Z366" s="7">
        <f t="shared" si="36"/>
        <v>0.996</v>
      </c>
      <c r="AA366">
        <f t="shared" si="37"/>
        <v>-35</v>
      </c>
      <c r="AB366" s="8">
        <f t="shared" si="38"/>
        <v>3779.82</v>
      </c>
      <c r="AC366">
        <f t="shared" si="39"/>
        <v>13.2</v>
      </c>
      <c r="AD366" t="str">
        <f t="shared" si="40"/>
        <v>Low</v>
      </c>
      <c r="AE366" t="str">
        <f t="shared" si="41"/>
        <v>No</v>
      </c>
    </row>
    <row r="367" spans="1:31" x14ac:dyDescent="0.35">
      <c r="A367" t="s">
        <v>476</v>
      </c>
      <c r="B367" s="5">
        <v>46195</v>
      </c>
      <c r="C367" t="s">
        <v>425</v>
      </c>
      <c r="D367" t="s">
        <v>25</v>
      </c>
      <c r="E367" t="s">
        <v>89</v>
      </c>
      <c r="F367" t="s">
        <v>32</v>
      </c>
      <c r="G367" t="s">
        <v>79</v>
      </c>
      <c r="H367" t="s">
        <v>39</v>
      </c>
      <c r="I367" t="s">
        <v>45</v>
      </c>
      <c r="J367">
        <v>1217</v>
      </c>
      <c r="K367">
        <v>1190</v>
      </c>
      <c r="L367">
        <v>29</v>
      </c>
      <c r="M367">
        <v>15</v>
      </c>
      <c r="N367">
        <v>1104</v>
      </c>
      <c r="O367">
        <v>45.1</v>
      </c>
      <c r="P367">
        <v>13.1</v>
      </c>
      <c r="Q367" t="s">
        <v>80</v>
      </c>
      <c r="R367" t="s">
        <v>81</v>
      </c>
      <c r="S367" t="s">
        <v>138</v>
      </c>
      <c r="T367">
        <v>4</v>
      </c>
      <c r="U367">
        <v>2</v>
      </c>
      <c r="V367" s="6">
        <v>445.44</v>
      </c>
      <c r="W367" s="6">
        <v>8796.2000000000007</v>
      </c>
      <c r="X367" t="s">
        <v>94</v>
      </c>
      <c r="Y367" s="7">
        <f t="shared" si="35"/>
        <v>2.4369747899159664E-2</v>
      </c>
      <c r="Z367" s="7">
        <f t="shared" si="36"/>
        <v>0.92773109243697482</v>
      </c>
      <c r="AA367">
        <f t="shared" si="37"/>
        <v>27</v>
      </c>
      <c r="AB367" s="8">
        <f t="shared" si="38"/>
        <v>12917.76</v>
      </c>
      <c r="AC367">
        <f t="shared" si="39"/>
        <v>56.7</v>
      </c>
      <c r="AD367" t="str">
        <f t="shared" si="40"/>
        <v>Medium</v>
      </c>
      <c r="AE367" t="str">
        <f t="shared" si="41"/>
        <v>Yes</v>
      </c>
    </row>
    <row r="368" spans="1:31" x14ac:dyDescent="0.35">
      <c r="A368" t="s">
        <v>477</v>
      </c>
      <c r="B368" s="5">
        <v>46195</v>
      </c>
      <c r="C368" t="s">
        <v>425</v>
      </c>
      <c r="D368" t="s">
        <v>22</v>
      </c>
      <c r="E368" t="s">
        <v>93</v>
      </c>
      <c r="F368" t="s">
        <v>29</v>
      </c>
      <c r="G368" t="s">
        <v>90</v>
      </c>
      <c r="H368" t="s">
        <v>40</v>
      </c>
      <c r="I368" t="s">
        <v>46</v>
      </c>
      <c r="J368">
        <v>1200</v>
      </c>
      <c r="K368">
        <v>1175</v>
      </c>
      <c r="L368">
        <v>36</v>
      </c>
      <c r="M368">
        <v>24</v>
      </c>
      <c r="N368">
        <v>1052</v>
      </c>
      <c r="O368">
        <v>56.2</v>
      </c>
      <c r="P368">
        <v>10</v>
      </c>
      <c r="Q368" t="s">
        <v>80</v>
      </c>
      <c r="R368" t="s">
        <v>81</v>
      </c>
      <c r="S368" t="s">
        <v>82</v>
      </c>
      <c r="T368">
        <v>2</v>
      </c>
      <c r="U368">
        <v>3</v>
      </c>
      <c r="V368" s="6">
        <v>32.33</v>
      </c>
      <c r="W368" s="6">
        <v>306.8</v>
      </c>
      <c r="X368" t="s">
        <v>83</v>
      </c>
      <c r="Y368" s="7">
        <f t="shared" si="35"/>
        <v>3.0638297872340424E-2</v>
      </c>
      <c r="Z368" s="7">
        <f t="shared" si="36"/>
        <v>0.89531914893617026</v>
      </c>
      <c r="AA368">
        <f t="shared" si="37"/>
        <v>25</v>
      </c>
      <c r="AB368" s="8">
        <f t="shared" si="38"/>
        <v>1163.8799999999999</v>
      </c>
      <c r="AC368">
        <f t="shared" si="39"/>
        <v>48.3</v>
      </c>
      <c r="AD368" t="str">
        <f t="shared" si="40"/>
        <v>Medium</v>
      </c>
      <c r="AE368" t="str">
        <f t="shared" si="41"/>
        <v>No</v>
      </c>
    </row>
    <row r="369" spans="1:31" x14ac:dyDescent="0.35">
      <c r="A369" t="s">
        <v>478</v>
      </c>
      <c r="B369" s="5">
        <v>46195</v>
      </c>
      <c r="C369" t="s">
        <v>425</v>
      </c>
      <c r="D369" t="s">
        <v>22</v>
      </c>
      <c r="E369" t="s">
        <v>93</v>
      </c>
      <c r="F369" t="s">
        <v>32</v>
      </c>
      <c r="G369" t="s">
        <v>79</v>
      </c>
      <c r="H369" t="s">
        <v>40</v>
      </c>
      <c r="I369" t="s">
        <v>44</v>
      </c>
      <c r="J369">
        <v>899</v>
      </c>
      <c r="K369">
        <v>846</v>
      </c>
      <c r="L369">
        <v>20</v>
      </c>
      <c r="M369">
        <v>8</v>
      </c>
      <c r="N369">
        <v>807</v>
      </c>
      <c r="O369">
        <v>49.7</v>
      </c>
      <c r="P369">
        <v>7.6</v>
      </c>
      <c r="Q369" t="s">
        <v>80</v>
      </c>
      <c r="R369" t="s">
        <v>81</v>
      </c>
      <c r="S369" t="s">
        <v>82</v>
      </c>
      <c r="T369">
        <v>0</v>
      </c>
      <c r="U369">
        <v>6</v>
      </c>
      <c r="V369" s="6">
        <v>199.71</v>
      </c>
      <c r="W369" s="6">
        <v>1006.82</v>
      </c>
      <c r="X369" t="s">
        <v>94</v>
      </c>
      <c r="Y369" s="7">
        <f t="shared" si="35"/>
        <v>2.3640661938534278E-2</v>
      </c>
      <c r="Z369" s="7">
        <f t="shared" si="36"/>
        <v>0.95390070921985815</v>
      </c>
      <c r="AA369">
        <f t="shared" si="37"/>
        <v>53</v>
      </c>
      <c r="AB369" s="8">
        <f t="shared" si="38"/>
        <v>3994.2000000000003</v>
      </c>
      <c r="AC369">
        <f t="shared" si="39"/>
        <v>35.6</v>
      </c>
      <c r="AD369" t="str">
        <f t="shared" si="40"/>
        <v>Low</v>
      </c>
      <c r="AE369" t="str">
        <f t="shared" si="41"/>
        <v>No</v>
      </c>
    </row>
    <row r="370" spans="1:31" x14ac:dyDescent="0.35">
      <c r="A370" t="s">
        <v>479</v>
      </c>
      <c r="B370" s="5">
        <v>46195</v>
      </c>
      <c r="C370" t="s">
        <v>425</v>
      </c>
      <c r="D370" t="s">
        <v>20</v>
      </c>
      <c r="E370" t="s">
        <v>78</v>
      </c>
      <c r="F370" t="s">
        <v>30</v>
      </c>
      <c r="G370" t="s">
        <v>79</v>
      </c>
      <c r="H370" t="s">
        <v>38</v>
      </c>
      <c r="I370" t="s">
        <v>47</v>
      </c>
      <c r="J370">
        <v>1475</v>
      </c>
      <c r="K370">
        <v>1574</v>
      </c>
      <c r="L370">
        <v>31</v>
      </c>
      <c r="M370">
        <v>24</v>
      </c>
      <c r="N370">
        <v>1444</v>
      </c>
      <c r="O370">
        <v>42.2</v>
      </c>
      <c r="P370">
        <v>0.9</v>
      </c>
      <c r="Q370" t="s">
        <v>80</v>
      </c>
      <c r="R370" t="s">
        <v>81</v>
      </c>
      <c r="S370" t="s">
        <v>82</v>
      </c>
      <c r="T370">
        <v>4</v>
      </c>
      <c r="U370">
        <v>0</v>
      </c>
      <c r="V370" s="6">
        <v>345.74</v>
      </c>
      <c r="W370" s="6">
        <v>7553.02</v>
      </c>
      <c r="X370" t="s">
        <v>94</v>
      </c>
      <c r="Y370" s="7">
        <f t="shared" si="35"/>
        <v>1.9695044472681066E-2</v>
      </c>
      <c r="Z370" s="7">
        <f t="shared" si="36"/>
        <v>0.91740787801778911</v>
      </c>
      <c r="AA370">
        <f t="shared" si="37"/>
        <v>-99</v>
      </c>
      <c r="AB370" s="8">
        <f t="shared" si="38"/>
        <v>10717.94</v>
      </c>
      <c r="AC370">
        <f t="shared" si="39"/>
        <v>24.6</v>
      </c>
      <c r="AD370" t="str">
        <f t="shared" si="40"/>
        <v>Low</v>
      </c>
      <c r="AE370" t="str">
        <f t="shared" si="41"/>
        <v>No</v>
      </c>
    </row>
    <row r="371" spans="1:31" x14ac:dyDescent="0.35">
      <c r="A371" t="s">
        <v>480</v>
      </c>
      <c r="B371" s="5">
        <v>46195</v>
      </c>
      <c r="C371" t="s">
        <v>425</v>
      </c>
      <c r="D371" t="s">
        <v>20</v>
      </c>
      <c r="E371" t="s">
        <v>78</v>
      </c>
      <c r="F371" t="s">
        <v>29</v>
      </c>
      <c r="G371" t="s">
        <v>79</v>
      </c>
      <c r="H371" t="s">
        <v>40</v>
      </c>
      <c r="I371" t="s">
        <v>46</v>
      </c>
      <c r="J371">
        <v>1300</v>
      </c>
      <c r="K371">
        <v>1298</v>
      </c>
      <c r="L371">
        <v>37</v>
      </c>
      <c r="M371">
        <v>22</v>
      </c>
      <c r="N371">
        <v>1143</v>
      </c>
      <c r="O371">
        <v>24.7</v>
      </c>
      <c r="P371">
        <v>16.8</v>
      </c>
      <c r="Q371" t="s">
        <v>96</v>
      </c>
      <c r="R371" t="s">
        <v>81</v>
      </c>
      <c r="S371" t="s">
        <v>82</v>
      </c>
      <c r="T371">
        <v>9</v>
      </c>
      <c r="U371">
        <v>3</v>
      </c>
      <c r="V371" s="6">
        <v>280.74</v>
      </c>
      <c r="W371" s="6">
        <v>3792.67</v>
      </c>
      <c r="X371" t="s">
        <v>115</v>
      </c>
      <c r="Y371" s="7">
        <f t="shared" si="35"/>
        <v>2.8505392912172575E-2</v>
      </c>
      <c r="Z371" s="7">
        <f t="shared" si="36"/>
        <v>0.88058551617873648</v>
      </c>
      <c r="AA371">
        <f t="shared" si="37"/>
        <v>2</v>
      </c>
      <c r="AB371" s="8">
        <f t="shared" si="38"/>
        <v>10387.380000000001</v>
      </c>
      <c r="AC371">
        <f t="shared" si="39"/>
        <v>65.7</v>
      </c>
      <c r="AD371" t="str">
        <f t="shared" si="40"/>
        <v>High</v>
      </c>
      <c r="AE371" t="str">
        <f t="shared" si="41"/>
        <v>Yes</v>
      </c>
    </row>
    <row r="372" spans="1:31" x14ac:dyDescent="0.35">
      <c r="A372" t="s">
        <v>481</v>
      </c>
      <c r="B372" s="5">
        <v>46195</v>
      </c>
      <c r="C372" t="s">
        <v>425</v>
      </c>
      <c r="D372" t="s">
        <v>25</v>
      </c>
      <c r="E372" t="s">
        <v>89</v>
      </c>
      <c r="F372" t="s">
        <v>29</v>
      </c>
      <c r="G372" t="s">
        <v>79</v>
      </c>
      <c r="H372" t="s">
        <v>36</v>
      </c>
      <c r="I372" t="s">
        <v>45</v>
      </c>
      <c r="J372">
        <v>1184</v>
      </c>
      <c r="K372">
        <v>1122</v>
      </c>
      <c r="L372">
        <v>35</v>
      </c>
      <c r="M372">
        <v>22</v>
      </c>
      <c r="N372">
        <v>1041</v>
      </c>
      <c r="O372">
        <v>54</v>
      </c>
      <c r="P372">
        <v>7.5</v>
      </c>
      <c r="Q372" t="s">
        <v>80</v>
      </c>
      <c r="R372" t="s">
        <v>81</v>
      </c>
      <c r="S372" t="s">
        <v>82</v>
      </c>
      <c r="T372">
        <v>7</v>
      </c>
      <c r="U372">
        <v>4</v>
      </c>
      <c r="V372" s="6">
        <v>363.37</v>
      </c>
      <c r="W372" s="6">
        <v>7541.62</v>
      </c>
      <c r="X372" t="s">
        <v>121</v>
      </c>
      <c r="Y372" s="7">
        <f t="shared" si="35"/>
        <v>3.1194295900178252E-2</v>
      </c>
      <c r="Z372" s="7">
        <f t="shared" si="36"/>
        <v>0.92780748663101609</v>
      </c>
      <c r="AA372">
        <f t="shared" si="37"/>
        <v>62</v>
      </c>
      <c r="AB372" s="8">
        <f t="shared" si="38"/>
        <v>12717.95</v>
      </c>
      <c r="AC372">
        <f t="shared" si="39"/>
        <v>44.2</v>
      </c>
      <c r="AD372" t="str">
        <f t="shared" si="40"/>
        <v>Medium</v>
      </c>
      <c r="AE372" t="str">
        <f t="shared" si="41"/>
        <v>No</v>
      </c>
    </row>
    <row r="373" spans="1:31" x14ac:dyDescent="0.35">
      <c r="A373" t="s">
        <v>482</v>
      </c>
      <c r="B373" s="5">
        <v>46195</v>
      </c>
      <c r="C373" t="s">
        <v>425</v>
      </c>
      <c r="D373" t="s">
        <v>20</v>
      </c>
      <c r="E373" t="s">
        <v>78</v>
      </c>
      <c r="F373" t="s">
        <v>27</v>
      </c>
      <c r="G373" t="s">
        <v>90</v>
      </c>
      <c r="H373" t="s">
        <v>40</v>
      </c>
      <c r="I373" t="s">
        <v>48</v>
      </c>
      <c r="J373">
        <v>1032</v>
      </c>
      <c r="K373">
        <v>1092</v>
      </c>
      <c r="L373">
        <v>29</v>
      </c>
      <c r="M373">
        <v>16</v>
      </c>
      <c r="N373">
        <v>973</v>
      </c>
      <c r="O373">
        <v>71.7</v>
      </c>
      <c r="P373">
        <v>3</v>
      </c>
      <c r="Q373" t="s">
        <v>86</v>
      </c>
      <c r="R373" t="s">
        <v>81</v>
      </c>
      <c r="S373" t="s">
        <v>82</v>
      </c>
      <c r="T373">
        <v>7</v>
      </c>
      <c r="U373">
        <v>1</v>
      </c>
      <c r="V373" s="6">
        <v>39.909999999999997</v>
      </c>
      <c r="W373" s="6">
        <v>561.14</v>
      </c>
      <c r="X373" t="s">
        <v>94</v>
      </c>
      <c r="Y373" s="7">
        <f t="shared" si="35"/>
        <v>2.6556776556776556E-2</v>
      </c>
      <c r="Z373" s="7">
        <f t="shared" si="36"/>
        <v>0.89102564102564108</v>
      </c>
      <c r="AA373">
        <f t="shared" si="37"/>
        <v>-60</v>
      </c>
      <c r="AB373" s="8">
        <f t="shared" si="38"/>
        <v>1157.3899999999999</v>
      </c>
      <c r="AC373">
        <f t="shared" si="39"/>
        <v>53.4</v>
      </c>
      <c r="AD373" t="str">
        <f t="shared" si="40"/>
        <v>Medium</v>
      </c>
      <c r="AE373" t="str">
        <f t="shared" si="41"/>
        <v>Yes</v>
      </c>
    </row>
    <row r="374" spans="1:31" x14ac:dyDescent="0.35">
      <c r="A374" t="s">
        <v>483</v>
      </c>
      <c r="B374" s="5">
        <v>46195</v>
      </c>
      <c r="C374" t="s">
        <v>425</v>
      </c>
      <c r="D374" t="s">
        <v>25</v>
      </c>
      <c r="E374" t="s">
        <v>89</v>
      </c>
      <c r="F374" t="s">
        <v>30</v>
      </c>
      <c r="G374" t="s">
        <v>79</v>
      </c>
      <c r="H374" t="s">
        <v>37</v>
      </c>
      <c r="I374" t="s">
        <v>44</v>
      </c>
      <c r="J374">
        <v>818</v>
      </c>
      <c r="K374">
        <v>844</v>
      </c>
      <c r="L374">
        <v>24</v>
      </c>
      <c r="M374">
        <v>10</v>
      </c>
      <c r="N374">
        <v>771</v>
      </c>
      <c r="O374">
        <v>39</v>
      </c>
      <c r="P374">
        <v>6.8</v>
      </c>
      <c r="Q374" t="s">
        <v>80</v>
      </c>
      <c r="R374" t="s">
        <v>81</v>
      </c>
      <c r="S374" t="s">
        <v>82</v>
      </c>
      <c r="T374">
        <v>1</v>
      </c>
      <c r="U374">
        <v>2</v>
      </c>
      <c r="V374" s="6">
        <v>86.44</v>
      </c>
      <c r="W374" s="6">
        <v>1127.1500000000001</v>
      </c>
      <c r="X374" t="s">
        <v>91</v>
      </c>
      <c r="Y374" s="7">
        <f t="shared" si="35"/>
        <v>2.843601895734597E-2</v>
      </c>
      <c r="Z374" s="7">
        <f t="shared" si="36"/>
        <v>0.9135071090047393</v>
      </c>
      <c r="AA374">
        <f t="shared" si="37"/>
        <v>-26</v>
      </c>
      <c r="AB374" s="8">
        <f t="shared" si="38"/>
        <v>2074.56</v>
      </c>
      <c r="AC374">
        <f t="shared" si="39"/>
        <v>41.2</v>
      </c>
      <c r="AD374" t="str">
        <f t="shared" si="40"/>
        <v>Medium</v>
      </c>
      <c r="AE374" t="str">
        <f t="shared" si="41"/>
        <v>No</v>
      </c>
    </row>
    <row r="375" spans="1:31" x14ac:dyDescent="0.35">
      <c r="A375" t="s">
        <v>484</v>
      </c>
      <c r="B375" s="5">
        <v>46195</v>
      </c>
      <c r="C375" t="s">
        <v>425</v>
      </c>
      <c r="D375" t="s">
        <v>25</v>
      </c>
      <c r="E375" t="s">
        <v>89</v>
      </c>
      <c r="F375" t="s">
        <v>31</v>
      </c>
      <c r="G375" t="s">
        <v>90</v>
      </c>
      <c r="H375" t="s">
        <v>36</v>
      </c>
      <c r="I375" t="s">
        <v>44</v>
      </c>
      <c r="J375">
        <v>1121</v>
      </c>
      <c r="K375">
        <v>1041</v>
      </c>
      <c r="L375">
        <v>24</v>
      </c>
      <c r="M375">
        <v>12</v>
      </c>
      <c r="N375">
        <v>1034</v>
      </c>
      <c r="O375">
        <v>20.100000000000001</v>
      </c>
      <c r="P375">
        <v>8.4</v>
      </c>
      <c r="Q375" t="s">
        <v>80</v>
      </c>
      <c r="R375" t="s">
        <v>81</v>
      </c>
      <c r="S375" t="s">
        <v>100</v>
      </c>
      <c r="T375">
        <v>0</v>
      </c>
      <c r="U375">
        <v>1</v>
      </c>
      <c r="V375" s="6">
        <v>62.38</v>
      </c>
      <c r="W375" s="6">
        <v>810.17</v>
      </c>
      <c r="X375" t="s">
        <v>94</v>
      </c>
      <c r="Y375" s="7">
        <f t="shared" si="35"/>
        <v>2.3054755043227664E-2</v>
      </c>
      <c r="Z375" s="7">
        <f t="shared" si="36"/>
        <v>0.99327569644572522</v>
      </c>
      <c r="AA375">
        <f t="shared" si="37"/>
        <v>80</v>
      </c>
      <c r="AB375" s="8">
        <f t="shared" si="38"/>
        <v>1497.1200000000001</v>
      </c>
      <c r="AC375">
        <f t="shared" si="39"/>
        <v>34.299999999999997</v>
      </c>
      <c r="AD375" t="str">
        <f t="shared" si="40"/>
        <v>Low</v>
      </c>
      <c r="AE375" t="str">
        <f t="shared" si="41"/>
        <v>No</v>
      </c>
    </row>
    <row r="376" spans="1:31" x14ac:dyDescent="0.35">
      <c r="A376" t="s">
        <v>485</v>
      </c>
      <c r="B376" s="5">
        <v>46195</v>
      </c>
      <c r="C376" t="s">
        <v>425</v>
      </c>
      <c r="D376" t="s">
        <v>25</v>
      </c>
      <c r="E376" t="s">
        <v>89</v>
      </c>
      <c r="F376" t="s">
        <v>30</v>
      </c>
      <c r="G376" t="s">
        <v>79</v>
      </c>
      <c r="H376" t="s">
        <v>37</v>
      </c>
      <c r="I376" t="s">
        <v>45</v>
      </c>
      <c r="J376">
        <v>904</v>
      </c>
      <c r="K376">
        <v>862</v>
      </c>
      <c r="L376">
        <v>21</v>
      </c>
      <c r="M376">
        <v>17</v>
      </c>
      <c r="N376">
        <v>848</v>
      </c>
      <c r="O376">
        <v>69.099999999999994</v>
      </c>
      <c r="P376">
        <v>11.3</v>
      </c>
      <c r="Q376" t="s">
        <v>96</v>
      </c>
      <c r="R376" t="s">
        <v>81</v>
      </c>
      <c r="S376" t="s">
        <v>82</v>
      </c>
      <c r="T376">
        <v>1</v>
      </c>
      <c r="U376">
        <v>0</v>
      </c>
      <c r="V376" s="6">
        <v>95.18</v>
      </c>
      <c r="W376" s="6">
        <v>1303.6600000000001</v>
      </c>
      <c r="X376" t="s">
        <v>94</v>
      </c>
      <c r="Y376" s="7">
        <f t="shared" si="35"/>
        <v>2.4361948955916472E-2</v>
      </c>
      <c r="Z376" s="7">
        <f t="shared" si="36"/>
        <v>0.98375870069605564</v>
      </c>
      <c r="AA376">
        <f t="shared" si="37"/>
        <v>42</v>
      </c>
      <c r="AB376" s="8">
        <f t="shared" si="38"/>
        <v>1998.7800000000002</v>
      </c>
      <c r="AC376">
        <f t="shared" si="39"/>
        <v>49.8</v>
      </c>
      <c r="AD376" t="str">
        <f t="shared" si="40"/>
        <v>Medium</v>
      </c>
      <c r="AE376" t="str">
        <f t="shared" si="41"/>
        <v>No</v>
      </c>
    </row>
    <row r="377" spans="1:31" x14ac:dyDescent="0.35">
      <c r="A377" t="s">
        <v>486</v>
      </c>
      <c r="B377" s="5">
        <v>46202</v>
      </c>
      <c r="C377" t="s">
        <v>425</v>
      </c>
      <c r="D377" t="s">
        <v>24</v>
      </c>
      <c r="E377" t="s">
        <v>78</v>
      </c>
      <c r="F377" t="s">
        <v>29</v>
      </c>
      <c r="G377" t="s">
        <v>79</v>
      </c>
      <c r="H377" t="s">
        <v>38</v>
      </c>
      <c r="I377" t="s">
        <v>44</v>
      </c>
      <c r="J377">
        <v>1257</v>
      </c>
      <c r="K377">
        <v>1283</v>
      </c>
      <c r="L377">
        <v>16</v>
      </c>
      <c r="M377">
        <v>8</v>
      </c>
      <c r="N377">
        <v>1202</v>
      </c>
      <c r="O377">
        <v>23.1</v>
      </c>
      <c r="P377">
        <v>11</v>
      </c>
      <c r="Q377" t="s">
        <v>80</v>
      </c>
      <c r="R377" t="s">
        <v>81</v>
      </c>
      <c r="S377" t="s">
        <v>100</v>
      </c>
      <c r="T377">
        <v>3</v>
      </c>
      <c r="U377">
        <v>3</v>
      </c>
      <c r="V377" s="6">
        <v>380.21</v>
      </c>
      <c r="W377" s="6">
        <v>2661.76</v>
      </c>
      <c r="X377" t="s">
        <v>151</v>
      </c>
      <c r="Y377" s="7">
        <f t="shared" si="35"/>
        <v>1.2470771628994544E-2</v>
      </c>
      <c r="Z377" s="7">
        <f t="shared" si="36"/>
        <v>0.93686671862821513</v>
      </c>
      <c r="AA377">
        <f t="shared" si="37"/>
        <v>-26</v>
      </c>
      <c r="AB377" s="8">
        <f t="shared" si="38"/>
        <v>6083.36</v>
      </c>
      <c r="AC377">
        <f t="shared" si="39"/>
        <v>29.6</v>
      </c>
      <c r="AD377" t="str">
        <f t="shared" si="40"/>
        <v>Low</v>
      </c>
      <c r="AE377" t="str">
        <f t="shared" si="41"/>
        <v>No</v>
      </c>
    </row>
    <row r="378" spans="1:31" x14ac:dyDescent="0.35">
      <c r="A378" t="s">
        <v>487</v>
      </c>
      <c r="B378" s="5">
        <v>46202</v>
      </c>
      <c r="C378" t="s">
        <v>425</v>
      </c>
      <c r="D378" t="s">
        <v>20</v>
      </c>
      <c r="E378" t="s">
        <v>78</v>
      </c>
      <c r="F378" t="s">
        <v>31</v>
      </c>
      <c r="G378" t="s">
        <v>79</v>
      </c>
      <c r="H378" t="s">
        <v>40</v>
      </c>
      <c r="I378" t="s">
        <v>47</v>
      </c>
      <c r="J378">
        <v>839</v>
      </c>
      <c r="K378">
        <v>811</v>
      </c>
      <c r="L378">
        <v>310</v>
      </c>
      <c r="M378">
        <v>8</v>
      </c>
      <c r="N378">
        <v>769</v>
      </c>
      <c r="O378">
        <v>57.9</v>
      </c>
      <c r="P378">
        <v>82.5</v>
      </c>
      <c r="Q378" t="s">
        <v>80</v>
      </c>
      <c r="R378" t="s">
        <v>81</v>
      </c>
      <c r="S378" t="s">
        <v>82</v>
      </c>
      <c r="T378">
        <v>0</v>
      </c>
      <c r="U378">
        <v>3</v>
      </c>
      <c r="V378" s="6">
        <v>346.22</v>
      </c>
      <c r="W378" s="6">
        <v>1855.68</v>
      </c>
      <c r="X378" t="s">
        <v>488</v>
      </c>
      <c r="Y378" s="7">
        <f t="shared" si="35"/>
        <v>0.38224414303329224</v>
      </c>
      <c r="Z378" s="7">
        <f t="shared" si="36"/>
        <v>0.94821208384710232</v>
      </c>
      <c r="AA378">
        <f t="shared" si="37"/>
        <v>28</v>
      </c>
      <c r="AB378" s="8">
        <f t="shared" si="38"/>
        <v>107328.20000000001</v>
      </c>
      <c r="AC378">
        <f t="shared" si="39"/>
        <v>100</v>
      </c>
      <c r="AD378" t="str">
        <f t="shared" si="40"/>
        <v>High</v>
      </c>
      <c r="AE378" t="str">
        <f t="shared" si="41"/>
        <v>Yes</v>
      </c>
    </row>
    <row r="379" spans="1:31" x14ac:dyDescent="0.35">
      <c r="A379" t="s">
        <v>489</v>
      </c>
      <c r="B379" s="5">
        <v>46202</v>
      </c>
      <c r="C379" t="s">
        <v>425</v>
      </c>
      <c r="D379" t="s">
        <v>20</v>
      </c>
      <c r="E379" t="s">
        <v>78</v>
      </c>
      <c r="F379" t="s">
        <v>29</v>
      </c>
      <c r="G379" t="s">
        <v>79</v>
      </c>
      <c r="H379" t="s">
        <v>38</v>
      </c>
      <c r="I379" t="s">
        <v>42</v>
      </c>
      <c r="J379">
        <v>955</v>
      </c>
      <c r="K379">
        <v>947</v>
      </c>
      <c r="L379">
        <v>17</v>
      </c>
      <c r="M379">
        <v>9</v>
      </c>
      <c r="N379">
        <v>927</v>
      </c>
      <c r="O379">
        <v>30.7</v>
      </c>
      <c r="P379">
        <v>7.6</v>
      </c>
      <c r="Q379" t="s">
        <v>86</v>
      </c>
      <c r="R379" t="s">
        <v>81</v>
      </c>
      <c r="S379" t="s">
        <v>82</v>
      </c>
      <c r="T379">
        <v>3</v>
      </c>
      <c r="U379">
        <v>2</v>
      </c>
      <c r="V379" s="6">
        <v>307.33999999999997</v>
      </c>
      <c r="W379" s="6">
        <v>3707.04</v>
      </c>
      <c r="X379" t="s">
        <v>94</v>
      </c>
      <c r="Y379" s="7">
        <f t="shared" si="35"/>
        <v>1.7951425554382259E-2</v>
      </c>
      <c r="Z379" s="7">
        <f t="shared" si="36"/>
        <v>0.97888067581837379</v>
      </c>
      <c r="AA379">
        <f t="shared" si="37"/>
        <v>8</v>
      </c>
      <c r="AB379" s="8">
        <f t="shared" si="38"/>
        <v>5224.78</v>
      </c>
      <c r="AC379">
        <f t="shared" si="39"/>
        <v>46.8</v>
      </c>
      <c r="AD379" t="str">
        <f t="shared" si="40"/>
        <v>Medium</v>
      </c>
      <c r="AE379" t="str">
        <f t="shared" si="41"/>
        <v>Yes</v>
      </c>
    </row>
    <row r="380" spans="1:31" x14ac:dyDescent="0.35">
      <c r="A380" t="s">
        <v>490</v>
      </c>
      <c r="B380" s="5">
        <v>46202</v>
      </c>
      <c r="C380" t="s">
        <v>425</v>
      </c>
      <c r="D380" t="s">
        <v>24</v>
      </c>
      <c r="E380" t="s">
        <v>78</v>
      </c>
      <c r="F380" t="s">
        <v>30</v>
      </c>
      <c r="G380" t="s">
        <v>85</v>
      </c>
      <c r="H380" t="s">
        <v>37</v>
      </c>
      <c r="I380" t="s">
        <v>42</v>
      </c>
      <c r="J380">
        <v>821</v>
      </c>
      <c r="K380">
        <v>903</v>
      </c>
      <c r="L380">
        <v>27</v>
      </c>
      <c r="M380">
        <v>22</v>
      </c>
      <c r="N380">
        <v>825</v>
      </c>
      <c r="O380">
        <v>49.1</v>
      </c>
      <c r="P380">
        <v>0</v>
      </c>
      <c r="Q380" t="s">
        <v>96</v>
      </c>
      <c r="R380" t="s">
        <v>81</v>
      </c>
      <c r="S380" t="s">
        <v>82</v>
      </c>
      <c r="T380">
        <v>4</v>
      </c>
      <c r="U380">
        <v>3</v>
      </c>
      <c r="V380" s="6">
        <v>205.55</v>
      </c>
      <c r="W380" s="6">
        <v>2873.47</v>
      </c>
      <c r="X380" t="s">
        <v>94</v>
      </c>
      <c r="Y380" s="7">
        <f t="shared" si="35"/>
        <v>2.9900332225913623E-2</v>
      </c>
      <c r="Z380" s="7">
        <f t="shared" si="36"/>
        <v>0.91362126245847175</v>
      </c>
      <c r="AA380">
        <f t="shared" si="37"/>
        <v>-82</v>
      </c>
      <c r="AB380" s="8">
        <f t="shared" si="38"/>
        <v>5549.85</v>
      </c>
      <c r="AC380">
        <f t="shared" si="39"/>
        <v>43.8</v>
      </c>
      <c r="AD380" t="str">
        <f t="shared" si="40"/>
        <v>Medium</v>
      </c>
      <c r="AE380" t="str">
        <f t="shared" si="41"/>
        <v>No</v>
      </c>
    </row>
    <row r="381" spans="1:31" x14ac:dyDescent="0.35">
      <c r="A381" t="s">
        <v>491</v>
      </c>
      <c r="B381" s="5">
        <v>46202</v>
      </c>
      <c r="C381" t="s">
        <v>425</v>
      </c>
      <c r="D381" t="s">
        <v>22</v>
      </c>
      <c r="E381" t="s">
        <v>93</v>
      </c>
      <c r="F381" t="s">
        <v>29</v>
      </c>
      <c r="G381" t="s">
        <v>85</v>
      </c>
      <c r="H381" t="s">
        <v>39</v>
      </c>
      <c r="I381" t="s">
        <v>48</v>
      </c>
      <c r="J381">
        <v>1039</v>
      </c>
      <c r="K381">
        <v>966</v>
      </c>
      <c r="L381">
        <v>33</v>
      </c>
      <c r="M381">
        <v>12</v>
      </c>
      <c r="N381">
        <v>871</v>
      </c>
      <c r="O381">
        <v>57.5</v>
      </c>
      <c r="P381">
        <v>4</v>
      </c>
      <c r="Q381" t="s">
        <v>80</v>
      </c>
      <c r="R381" t="s">
        <v>81</v>
      </c>
      <c r="S381" t="s">
        <v>100</v>
      </c>
      <c r="T381">
        <v>2</v>
      </c>
      <c r="U381">
        <v>4</v>
      </c>
      <c r="V381" s="6">
        <v>90.78</v>
      </c>
      <c r="W381" s="6">
        <v>2299.21</v>
      </c>
      <c r="X381" t="s">
        <v>151</v>
      </c>
      <c r="Y381" s="7">
        <f t="shared" si="35"/>
        <v>3.4161490683229816E-2</v>
      </c>
      <c r="Z381" s="7">
        <f t="shared" si="36"/>
        <v>0.90165631469979302</v>
      </c>
      <c r="AA381">
        <f t="shared" si="37"/>
        <v>73</v>
      </c>
      <c r="AB381" s="8">
        <f t="shared" si="38"/>
        <v>2995.7400000000002</v>
      </c>
      <c r="AC381">
        <f t="shared" si="39"/>
        <v>43.8</v>
      </c>
      <c r="AD381" t="str">
        <f t="shared" si="40"/>
        <v>Medium</v>
      </c>
      <c r="AE381" t="str">
        <f t="shared" si="41"/>
        <v>No</v>
      </c>
    </row>
    <row r="382" spans="1:31" x14ac:dyDescent="0.35">
      <c r="A382" t="s">
        <v>492</v>
      </c>
      <c r="B382" s="5">
        <v>46202</v>
      </c>
      <c r="C382" t="s">
        <v>425</v>
      </c>
      <c r="D382" t="s">
        <v>22</v>
      </c>
      <c r="E382" t="s">
        <v>93</v>
      </c>
      <c r="F382" t="s">
        <v>31</v>
      </c>
      <c r="G382" t="s">
        <v>90</v>
      </c>
      <c r="H382" t="s">
        <v>40</v>
      </c>
      <c r="I382" t="s">
        <v>42</v>
      </c>
      <c r="J382">
        <v>841</v>
      </c>
      <c r="K382">
        <v>780</v>
      </c>
      <c r="L382">
        <v>18</v>
      </c>
      <c r="M382">
        <v>7</v>
      </c>
      <c r="N382">
        <v>735</v>
      </c>
      <c r="O382">
        <v>32.5</v>
      </c>
      <c r="P382">
        <v>0</v>
      </c>
      <c r="Q382" t="s">
        <v>80</v>
      </c>
      <c r="R382" t="s">
        <v>81</v>
      </c>
      <c r="S382" t="s">
        <v>82</v>
      </c>
      <c r="T382">
        <v>2</v>
      </c>
      <c r="U382">
        <v>2</v>
      </c>
      <c r="V382" s="6">
        <v>316.31</v>
      </c>
      <c r="W382" s="6">
        <v>3010.49</v>
      </c>
      <c r="X382" t="s">
        <v>94</v>
      </c>
      <c r="Y382" s="7">
        <f t="shared" si="35"/>
        <v>2.3076923076923078E-2</v>
      </c>
      <c r="Z382" s="7">
        <f t="shared" si="36"/>
        <v>0.94230769230769229</v>
      </c>
      <c r="AA382">
        <f t="shared" si="37"/>
        <v>61</v>
      </c>
      <c r="AB382" s="8">
        <f t="shared" si="38"/>
        <v>5693.58</v>
      </c>
      <c r="AC382">
        <f t="shared" si="39"/>
        <v>25.7</v>
      </c>
      <c r="AD382" t="str">
        <f t="shared" si="40"/>
        <v>Low</v>
      </c>
      <c r="AE382" t="str">
        <f t="shared" si="41"/>
        <v>No</v>
      </c>
    </row>
    <row r="383" spans="1:31" x14ac:dyDescent="0.35">
      <c r="A383" t="s">
        <v>493</v>
      </c>
      <c r="B383" s="5">
        <v>46202</v>
      </c>
      <c r="C383" t="s">
        <v>425</v>
      </c>
      <c r="D383" t="s">
        <v>20</v>
      </c>
      <c r="E383" t="s">
        <v>78</v>
      </c>
      <c r="F383" t="s">
        <v>27</v>
      </c>
      <c r="G383" t="s">
        <v>90</v>
      </c>
      <c r="H383" t="s">
        <v>34</v>
      </c>
      <c r="I383" t="s">
        <v>47</v>
      </c>
      <c r="J383">
        <v>1065</v>
      </c>
      <c r="K383">
        <v>1006</v>
      </c>
      <c r="L383">
        <v>24</v>
      </c>
      <c r="M383">
        <v>17</v>
      </c>
      <c r="N383">
        <v>972</v>
      </c>
      <c r="O383">
        <v>43.5</v>
      </c>
      <c r="P383">
        <v>1</v>
      </c>
      <c r="Q383" t="s">
        <v>80</v>
      </c>
      <c r="R383" t="s">
        <v>81</v>
      </c>
      <c r="S383" t="s">
        <v>82</v>
      </c>
      <c r="T383">
        <v>5</v>
      </c>
      <c r="U383">
        <v>0</v>
      </c>
      <c r="V383" s="6">
        <v>31.63</v>
      </c>
      <c r="W383" s="6">
        <v>204.1</v>
      </c>
      <c r="X383" t="s">
        <v>115</v>
      </c>
      <c r="Y383" s="7">
        <f t="shared" si="35"/>
        <v>2.3856858846918488E-2</v>
      </c>
      <c r="Z383" s="7">
        <f t="shared" si="36"/>
        <v>0.96620278330019882</v>
      </c>
      <c r="AA383">
        <f t="shared" si="37"/>
        <v>59</v>
      </c>
      <c r="AB383" s="8">
        <f t="shared" si="38"/>
        <v>759.12</v>
      </c>
      <c r="AC383">
        <f t="shared" si="39"/>
        <v>26.7</v>
      </c>
      <c r="AD383" t="str">
        <f t="shared" si="40"/>
        <v>Low</v>
      </c>
      <c r="AE383" t="str">
        <f t="shared" si="41"/>
        <v>No</v>
      </c>
    </row>
    <row r="384" spans="1:31" x14ac:dyDescent="0.35">
      <c r="A384" t="s">
        <v>494</v>
      </c>
      <c r="B384" s="5">
        <v>46202</v>
      </c>
      <c r="C384" t="s">
        <v>425</v>
      </c>
      <c r="D384" t="s">
        <v>20</v>
      </c>
      <c r="E384" t="s">
        <v>78</v>
      </c>
      <c r="F384" t="s">
        <v>27</v>
      </c>
      <c r="G384" t="s">
        <v>85</v>
      </c>
      <c r="H384" t="s">
        <v>36</v>
      </c>
      <c r="I384" t="s">
        <v>42</v>
      </c>
      <c r="J384">
        <v>1046</v>
      </c>
      <c r="K384">
        <v>998</v>
      </c>
      <c r="L384">
        <v>32</v>
      </c>
      <c r="M384">
        <v>24</v>
      </c>
      <c r="N384">
        <v>998</v>
      </c>
      <c r="O384">
        <v>58.4</v>
      </c>
      <c r="P384">
        <v>14.7</v>
      </c>
      <c r="Q384" t="s">
        <v>96</v>
      </c>
      <c r="R384" t="s">
        <v>81</v>
      </c>
      <c r="S384" t="s">
        <v>82</v>
      </c>
      <c r="T384">
        <v>8</v>
      </c>
      <c r="U384">
        <v>7</v>
      </c>
      <c r="V384" s="6">
        <v>330.25</v>
      </c>
      <c r="W384" s="6">
        <v>4862.5</v>
      </c>
      <c r="X384" t="s">
        <v>94</v>
      </c>
      <c r="Y384" s="7">
        <f t="shared" si="35"/>
        <v>3.2064128256513023E-2</v>
      </c>
      <c r="Z384" s="7">
        <f t="shared" si="36"/>
        <v>1</v>
      </c>
      <c r="AA384">
        <f t="shared" si="37"/>
        <v>48</v>
      </c>
      <c r="AB384" s="8">
        <f t="shared" si="38"/>
        <v>10568</v>
      </c>
      <c r="AC384">
        <f t="shared" si="39"/>
        <v>61.2</v>
      </c>
      <c r="AD384" t="str">
        <f t="shared" si="40"/>
        <v>Medium</v>
      </c>
      <c r="AE384" t="str">
        <f t="shared" si="41"/>
        <v>No</v>
      </c>
    </row>
    <row r="385" spans="1:31" x14ac:dyDescent="0.35">
      <c r="A385" t="s">
        <v>495</v>
      </c>
      <c r="B385" s="5">
        <v>46202</v>
      </c>
      <c r="C385" t="s">
        <v>425</v>
      </c>
      <c r="D385" t="s">
        <v>20</v>
      </c>
      <c r="E385" t="s">
        <v>78</v>
      </c>
      <c r="F385" t="s">
        <v>30</v>
      </c>
      <c r="G385" t="s">
        <v>79</v>
      </c>
      <c r="H385" t="s">
        <v>39</v>
      </c>
      <c r="I385" t="s">
        <v>48</v>
      </c>
      <c r="J385">
        <v>1303</v>
      </c>
      <c r="K385">
        <v>1374</v>
      </c>
      <c r="L385">
        <v>50</v>
      </c>
      <c r="M385">
        <v>23</v>
      </c>
      <c r="N385">
        <v>1291</v>
      </c>
      <c r="O385">
        <v>69.7</v>
      </c>
      <c r="P385">
        <v>1.9</v>
      </c>
      <c r="Q385" t="s">
        <v>80</v>
      </c>
      <c r="R385" t="s">
        <v>81</v>
      </c>
      <c r="S385" t="s">
        <v>100</v>
      </c>
      <c r="T385">
        <v>10</v>
      </c>
      <c r="U385">
        <v>4</v>
      </c>
      <c r="V385" s="6">
        <v>425.66</v>
      </c>
      <c r="W385" s="6">
        <v>8432.56</v>
      </c>
      <c r="X385" t="s">
        <v>121</v>
      </c>
      <c r="Y385" s="7">
        <f t="shared" si="35"/>
        <v>3.6390101892285295E-2</v>
      </c>
      <c r="Z385" s="7">
        <f t="shared" si="36"/>
        <v>0.93959243085880639</v>
      </c>
      <c r="AA385">
        <f t="shared" si="37"/>
        <v>-71</v>
      </c>
      <c r="AB385" s="8">
        <f t="shared" si="38"/>
        <v>21283</v>
      </c>
      <c r="AC385">
        <f t="shared" si="39"/>
        <v>41.6</v>
      </c>
      <c r="AD385" t="str">
        <f t="shared" si="40"/>
        <v>Medium</v>
      </c>
      <c r="AE385" t="str">
        <f t="shared" si="41"/>
        <v>No</v>
      </c>
    </row>
    <row r="386" spans="1:31" x14ac:dyDescent="0.35">
      <c r="A386" t="s">
        <v>496</v>
      </c>
      <c r="B386" s="5">
        <v>46202</v>
      </c>
      <c r="C386" t="s">
        <v>425</v>
      </c>
      <c r="D386" t="s">
        <v>22</v>
      </c>
      <c r="E386" t="s">
        <v>93</v>
      </c>
      <c r="F386" t="s">
        <v>27</v>
      </c>
      <c r="G386" t="s">
        <v>90</v>
      </c>
      <c r="H386" t="s">
        <v>38</v>
      </c>
      <c r="I386" t="s">
        <v>45</v>
      </c>
      <c r="J386">
        <v>1546</v>
      </c>
      <c r="K386">
        <v>1582</v>
      </c>
      <c r="L386">
        <v>43</v>
      </c>
      <c r="M386">
        <v>28</v>
      </c>
      <c r="N386">
        <v>1558</v>
      </c>
      <c r="O386">
        <v>39.1</v>
      </c>
      <c r="P386">
        <v>6.5</v>
      </c>
      <c r="Q386" t="s">
        <v>86</v>
      </c>
      <c r="R386" t="s">
        <v>81</v>
      </c>
      <c r="S386" t="s">
        <v>82</v>
      </c>
      <c r="T386">
        <v>3</v>
      </c>
      <c r="U386">
        <v>6</v>
      </c>
      <c r="V386" s="6">
        <v>338.62</v>
      </c>
      <c r="W386" s="6">
        <v>3796.22</v>
      </c>
      <c r="X386" t="s">
        <v>110</v>
      </c>
      <c r="Y386" s="7">
        <f t="shared" ref="Y386:Y449" si="42">IFERROR(L386/K386,0)</f>
        <v>2.718078381795196E-2</v>
      </c>
      <c r="Z386" s="7">
        <f t="shared" ref="Z386:Z449" si="43">IFERROR(N386/K386,0)</f>
        <v>0.98482932996207329</v>
      </c>
      <c r="AA386">
        <f t="shared" ref="AA386:AA449" si="44">J386-K386</f>
        <v>-36</v>
      </c>
      <c r="AB386" s="8">
        <f t="shared" ref="AB386:AB449" si="45">L386*V386</f>
        <v>14560.66</v>
      </c>
      <c r="AC386">
        <f t="shared" ref="AC386:AC449" si="46">ROUND(MIN(100,(Y386*1000)+(1-Z386)*45+(P386*1.3)+IF(Q386="Late",18,IF(Q386="Pending",10,0))+IF(R386="Yes",20,0)+IF(S386="Decision Required",12,0)),1)</f>
        <v>54.3</v>
      </c>
      <c r="AD386" t="str">
        <f t="shared" ref="AD386:AD449" si="47">IF(AC386&gt;=65,"High",IF(AC386&gt;=40,"Medium","Low"))</f>
        <v>Medium</v>
      </c>
      <c r="AE386" t="str">
        <f t="shared" ref="AE386:AE449" si="48">IF(OR(AD386="High",Q386="Late",R386="Yes",S386="Decision Required"),"Yes","No")</f>
        <v>Yes</v>
      </c>
    </row>
    <row r="387" spans="1:31" x14ac:dyDescent="0.35">
      <c r="A387" t="s">
        <v>497</v>
      </c>
      <c r="B387" s="5">
        <v>46202</v>
      </c>
      <c r="C387" t="s">
        <v>425</v>
      </c>
      <c r="D387" t="s">
        <v>24</v>
      </c>
      <c r="E387" t="s">
        <v>78</v>
      </c>
      <c r="F387" t="s">
        <v>32</v>
      </c>
      <c r="G387" t="s">
        <v>79</v>
      </c>
      <c r="H387" t="s">
        <v>34</v>
      </c>
      <c r="I387" t="s">
        <v>48</v>
      </c>
      <c r="J387">
        <v>1402</v>
      </c>
      <c r="K387">
        <v>1375</v>
      </c>
      <c r="L387">
        <v>52</v>
      </c>
      <c r="M387">
        <v>32</v>
      </c>
      <c r="N387">
        <v>1302</v>
      </c>
      <c r="O387">
        <v>73.8</v>
      </c>
      <c r="P387">
        <v>9</v>
      </c>
      <c r="Q387" t="s">
        <v>80</v>
      </c>
      <c r="R387" t="s">
        <v>81</v>
      </c>
      <c r="S387" t="s">
        <v>82</v>
      </c>
      <c r="T387">
        <v>9</v>
      </c>
      <c r="U387">
        <v>6</v>
      </c>
      <c r="V387" s="6">
        <v>425.24</v>
      </c>
      <c r="W387" s="6">
        <v>15058.42</v>
      </c>
      <c r="X387" t="s">
        <v>94</v>
      </c>
      <c r="Y387" s="7">
        <f t="shared" si="42"/>
        <v>3.781818181818182E-2</v>
      </c>
      <c r="Z387" s="7">
        <f t="shared" si="43"/>
        <v>0.94690909090909092</v>
      </c>
      <c r="AA387">
        <f t="shared" si="44"/>
        <v>27</v>
      </c>
      <c r="AB387" s="8">
        <f t="shared" si="45"/>
        <v>22112.48</v>
      </c>
      <c r="AC387">
        <f t="shared" si="46"/>
        <v>51.9</v>
      </c>
      <c r="AD387" t="str">
        <f t="shared" si="47"/>
        <v>Medium</v>
      </c>
      <c r="AE387" t="str">
        <f t="shared" si="48"/>
        <v>No</v>
      </c>
    </row>
    <row r="388" spans="1:31" x14ac:dyDescent="0.35">
      <c r="A388" t="s">
        <v>498</v>
      </c>
      <c r="B388" s="5">
        <v>46202</v>
      </c>
      <c r="C388" t="s">
        <v>425</v>
      </c>
      <c r="D388" t="s">
        <v>22</v>
      </c>
      <c r="E388" t="s">
        <v>93</v>
      </c>
      <c r="F388" t="s">
        <v>27</v>
      </c>
      <c r="G388" t="s">
        <v>79</v>
      </c>
      <c r="H388" t="s">
        <v>37</v>
      </c>
      <c r="I388" t="s">
        <v>44</v>
      </c>
      <c r="J388">
        <v>981</v>
      </c>
      <c r="K388">
        <v>954</v>
      </c>
      <c r="L388">
        <v>18</v>
      </c>
      <c r="M388">
        <v>14</v>
      </c>
      <c r="N388">
        <v>907</v>
      </c>
      <c r="O388">
        <v>38.299999999999997</v>
      </c>
      <c r="P388">
        <v>15.5</v>
      </c>
      <c r="Q388" t="s">
        <v>80</v>
      </c>
      <c r="R388" t="s">
        <v>81</v>
      </c>
      <c r="S388" t="s">
        <v>82</v>
      </c>
      <c r="T388">
        <v>4</v>
      </c>
      <c r="U388">
        <v>2</v>
      </c>
      <c r="V388" s="6">
        <v>344.39</v>
      </c>
      <c r="W388" s="6">
        <v>3085.49</v>
      </c>
      <c r="X388" t="s">
        <v>91</v>
      </c>
      <c r="Y388" s="7">
        <f t="shared" si="42"/>
        <v>1.8867924528301886E-2</v>
      </c>
      <c r="Z388" s="7">
        <f t="shared" si="43"/>
        <v>0.95073375262054505</v>
      </c>
      <c r="AA388">
        <f t="shared" si="44"/>
        <v>27</v>
      </c>
      <c r="AB388" s="8">
        <f t="shared" si="45"/>
        <v>6199.0199999999995</v>
      </c>
      <c r="AC388">
        <f t="shared" si="46"/>
        <v>41.2</v>
      </c>
      <c r="AD388" t="str">
        <f t="shared" si="47"/>
        <v>Medium</v>
      </c>
      <c r="AE388" t="str">
        <f t="shared" si="48"/>
        <v>No</v>
      </c>
    </row>
    <row r="389" spans="1:31" x14ac:dyDescent="0.35">
      <c r="A389" t="s">
        <v>499</v>
      </c>
      <c r="B389" s="5">
        <v>46202</v>
      </c>
      <c r="C389" t="s">
        <v>425</v>
      </c>
      <c r="D389" t="s">
        <v>20</v>
      </c>
      <c r="E389" t="s">
        <v>78</v>
      </c>
      <c r="F389" t="s">
        <v>27</v>
      </c>
      <c r="G389" t="s">
        <v>85</v>
      </c>
      <c r="H389" t="s">
        <v>38</v>
      </c>
      <c r="I389" t="s">
        <v>45</v>
      </c>
      <c r="J389">
        <v>1261</v>
      </c>
      <c r="K389">
        <v>1298</v>
      </c>
      <c r="L389">
        <v>32</v>
      </c>
      <c r="M389">
        <v>20</v>
      </c>
      <c r="N389">
        <v>1208</v>
      </c>
      <c r="O389">
        <v>40.9</v>
      </c>
      <c r="P389">
        <v>15.1</v>
      </c>
      <c r="Q389" t="s">
        <v>80</v>
      </c>
      <c r="R389" t="s">
        <v>81</v>
      </c>
      <c r="S389" t="s">
        <v>82</v>
      </c>
      <c r="T389">
        <v>5</v>
      </c>
      <c r="U389">
        <v>3</v>
      </c>
      <c r="V389" s="6">
        <v>439.51</v>
      </c>
      <c r="W389" s="6">
        <v>9494.26</v>
      </c>
      <c r="X389" t="s">
        <v>115</v>
      </c>
      <c r="Y389" s="7">
        <f t="shared" si="42"/>
        <v>2.465331278890601E-2</v>
      </c>
      <c r="Z389" s="7">
        <f t="shared" si="43"/>
        <v>0.93066255778120188</v>
      </c>
      <c r="AA389">
        <f t="shared" si="44"/>
        <v>-37</v>
      </c>
      <c r="AB389" s="8">
        <f t="shared" si="45"/>
        <v>14064.32</v>
      </c>
      <c r="AC389">
        <f t="shared" si="46"/>
        <v>47.4</v>
      </c>
      <c r="AD389" t="str">
        <f t="shared" si="47"/>
        <v>Medium</v>
      </c>
      <c r="AE389" t="str">
        <f t="shared" si="48"/>
        <v>No</v>
      </c>
    </row>
    <row r="390" spans="1:31" x14ac:dyDescent="0.35">
      <c r="A390" t="s">
        <v>500</v>
      </c>
      <c r="B390" s="5">
        <v>46202</v>
      </c>
      <c r="C390" t="s">
        <v>425</v>
      </c>
      <c r="D390" t="s">
        <v>24</v>
      </c>
      <c r="E390" t="s">
        <v>78</v>
      </c>
      <c r="F390" t="s">
        <v>31</v>
      </c>
      <c r="G390" t="s">
        <v>90</v>
      </c>
      <c r="H390" t="s">
        <v>34</v>
      </c>
      <c r="I390" t="s">
        <v>46</v>
      </c>
      <c r="J390">
        <v>1148</v>
      </c>
      <c r="K390">
        <v>1219</v>
      </c>
      <c r="L390">
        <v>24</v>
      </c>
      <c r="M390">
        <v>13</v>
      </c>
      <c r="N390">
        <v>1204</v>
      </c>
      <c r="O390">
        <v>38.200000000000003</v>
      </c>
      <c r="P390">
        <v>21.6</v>
      </c>
      <c r="Q390" t="s">
        <v>80</v>
      </c>
      <c r="R390" t="s">
        <v>81</v>
      </c>
      <c r="S390" t="s">
        <v>82</v>
      </c>
      <c r="T390">
        <v>1</v>
      </c>
      <c r="U390">
        <v>3</v>
      </c>
      <c r="V390" s="6">
        <v>102.45</v>
      </c>
      <c r="W390" s="6">
        <v>1270.83</v>
      </c>
      <c r="X390" t="s">
        <v>121</v>
      </c>
      <c r="Y390" s="7">
        <f t="shared" si="42"/>
        <v>1.9688269073010665E-2</v>
      </c>
      <c r="Z390" s="7">
        <f t="shared" si="43"/>
        <v>0.98769483182936835</v>
      </c>
      <c r="AA390">
        <f t="shared" si="44"/>
        <v>-71</v>
      </c>
      <c r="AB390" s="8">
        <f t="shared" si="45"/>
        <v>2458.8000000000002</v>
      </c>
      <c r="AC390">
        <f t="shared" si="46"/>
        <v>48.3</v>
      </c>
      <c r="AD390" t="str">
        <f t="shared" si="47"/>
        <v>Medium</v>
      </c>
      <c r="AE390" t="str">
        <f t="shared" si="48"/>
        <v>No</v>
      </c>
    </row>
    <row r="391" spans="1:31" x14ac:dyDescent="0.35">
      <c r="A391" t="s">
        <v>501</v>
      </c>
      <c r="B391" s="5">
        <v>46202</v>
      </c>
      <c r="C391" t="s">
        <v>425</v>
      </c>
      <c r="D391" t="s">
        <v>22</v>
      </c>
      <c r="E391" t="s">
        <v>93</v>
      </c>
      <c r="F391" t="s">
        <v>27</v>
      </c>
      <c r="G391" t="s">
        <v>90</v>
      </c>
      <c r="H391" t="s">
        <v>36</v>
      </c>
      <c r="I391" t="s">
        <v>46</v>
      </c>
      <c r="J391">
        <v>1017</v>
      </c>
      <c r="K391">
        <v>1007</v>
      </c>
      <c r="L391">
        <v>7</v>
      </c>
      <c r="M391">
        <v>5</v>
      </c>
      <c r="N391">
        <v>992</v>
      </c>
      <c r="O391">
        <v>41.8</v>
      </c>
      <c r="P391">
        <v>2.6</v>
      </c>
      <c r="Q391" t="s">
        <v>80</v>
      </c>
      <c r="R391" t="s">
        <v>81</v>
      </c>
      <c r="S391" t="s">
        <v>82</v>
      </c>
      <c r="T391">
        <v>0</v>
      </c>
      <c r="U391">
        <v>3</v>
      </c>
      <c r="V391" s="6">
        <v>157.91</v>
      </c>
      <c r="W391" s="6">
        <v>690.49</v>
      </c>
      <c r="X391" t="s">
        <v>94</v>
      </c>
      <c r="Y391" s="7">
        <f t="shared" si="42"/>
        <v>6.9513406156901684E-3</v>
      </c>
      <c r="Z391" s="7">
        <f t="shared" si="43"/>
        <v>0.9851042701092354</v>
      </c>
      <c r="AA391">
        <f t="shared" si="44"/>
        <v>10</v>
      </c>
      <c r="AB391" s="8">
        <f t="shared" si="45"/>
        <v>1105.3699999999999</v>
      </c>
      <c r="AC391">
        <f t="shared" si="46"/>
        <v>11</v>
      </c>
      <c r="AD391" t="str">
        <f t="shared" si="47"/>
        <v>Low</v>
      </c>
      <c r="AE391" t="str">
        <f t="shared" si="48"/>
        <v>No</v>
      </c>
    </row>
    <row r="392" spans="1:31" x14ac:dyDescent="0.35">
      <c r="A392" t="s">
        <v>502</v>
      </c>
      <c r="B392" s="5">
        <v>46209</v>
      </c>
      <c r="C392" t="s">
        <v>503</v>
      </c>
      <c r="D392" t="s">
        <v>25</v>
      </c>
      <c r="E392" t="s">
        <v>89</v>
      </c>
      <c r="F392" t="s">
        <v>32</v>
      </c>
      <c r="G392" t="s">
        <v>90</v>
      </c>
      <c r="H392" t="s">
        <v>36</v>
      </c>
      <c r="I392" t="s">
        <v>46</v>
      </c>
      <c r="J392">
        <v>1272</v>
      </c>
      <c r="K392">
        <v>1267</v>
      </c>
      <c r="L392">
        <v>24</v>
      </c>
      <c r="M392">
        <v>15</v>
      </c>
      <c r="N392">
        <v>1178</v>
      </c>
      <c r="O392">
        <v>40.700000000000003</v>
      </c>
      <c r="P392">
        <v>14</v>
      </c>
      <c r="Q392" t="s">
        <v>80</v>
      </c>
      <c r="R392" t="s">
        <v>81</v>
      </c>
      <c r="S392" t="s">
        <v>82</v>
      </c>
      <c r="T392">
        <v>3</v>
      </c>
      <c r="U392">
        <v>1</v>
      </c>
      <c r="V392" s="6">
        <v>88.28</v>
      </c>
      <c r="W392" s="6">
        <v>1412.63</v>
      </c>
      <c r="X392" t="s">
        <v>87</v>
      </c>
      <c r="Y392" s="7">
        <f t="shared" si="42"/>
        <v>1.8942383583267563E-2</v>
      </c>
      <c r="Z392" s="7">
        <f t="shared" si="43"/>
        <v>0.92975532754538281</v>
      </c>
      <c r="AA392">
        <f t="shared" si="44"/>
        <v>5</v>
      </c>
      <c r="AB392" s="8">
        <f t="shared" si="45"/>
        <v>2118.7200000000003</v>
      </c>
      <c r="AC392">
        <f t="shared" si="46"/>
        <v>40.299999999999997</v>
      </c>
      <c r="AD392" t="str">
        <f t="shared" si="47"/>
        <v>Medium</v>
      </c>
      <c r="AE392" t="str">
        <f t="shared" si="48"/>
        <v>No</v>
      </c>
    </row>
    <row r="393" spans="1:31" x14ac:dyDescent="0.35">
      <c r="A393" t="s">
        <v>504</v>
      </c>
      <c r="B393" s="5">
        <v>46209</v>
      </c>
      <c r="C393" t="s">
        <v>503</v>
      </c>
      <c r="D393" t="s">
        <v>22</v>
      </c>
      <c r="E393" t="s">
        <v>93</v>
      </c>
      <c r="F393" t="s">
        <v>31</v>
      </c>
      <c r="G393" t="s">
        <v>90</v>
      </c>
      <c r="H393" t="s">
        <v>37</v>
      </c>
      <c r="I393" t="s">
        <v>45</v>
      </c>
      <c r="J393">
        <v>1324</v>
      </c>
      <c r="K393">
        <v>1345</v>
      </c>
      <c r="L393">
        <v>67</v>
      </c>
      <c r="M393">
        <v>37</v>
      </c>
      <c r="N393">
        <v>1223</v>
      </c>
      <c r="O393">
        <v>22.7</v>
      </c>
      <c r="P393">
        <v>8.1999999999999993</v>
      </c>
      <c r="Q393" t="s">
        <v>80</v>
      </c>
      <c r="R393" t="s">
        <v>81</v>
      </c>
      <c r="S393" t="s">
        <v>138</v>
      </c>
      <c r="T393">
        <v>14</v>
      </c>
      <c r="U393">
        <v>4</v>
      </c>
      <c r="V393" s="6">
        <v>250.07</v>
      </c>
      <c r="W393" s="6">
        <v>13056.85</v>
      </c>
      <c r="X393" t="s">
        <v>91</v>
      </c>
      <c r="Y393" s="7">
        <f t="shared" si="42"/>
        <v>4.9814126394052041E-2</v>
      </c>
      <c r="Z393" s="7">
        <f t="shared" si="43"/>
        <v>0.90929368029739777</v>
      </c>
      <c r="AA393">
        <f t="shared" si="44"/>
        <v>-21</v>
      </c>
      <c r="AB393" s="8">
        <f t="shared" si="45"/>
        <v>16754.689999999999</v>
      </c>
      <c r="AC393">
        <f t="shared" si="46"/>
        <v>76.599999999999994</v>
      </c>
      <c r="AD393" t="str">
        <f t="shared" si="47"/>
        <v>High</v>
      </c>
      <c r="AE393" t="str">
        <f t="shared" si="48"/>
        <v>Yes</v>
      </c>
    </row>
    <row r="394" spans="1:31" x14ac:dyDescent="0.35">
      <c r="A394" t="s">
        <v>505</v>
      </c>
      <c r="B394" s="5">
        <v>46209</v>
      </c>
      <c r="C394" t="s">
        <v>503</v>
      </c>
      <c r="D394" t="s">
        <v>20</v>
      </c>
      <c r="E394" t="s">
        <v>78</v>
      </c>
      <c r="F394" t="s">
        <v>27</v>
      </c>
      <c r="G394" t="s">
        <v>90</v>
      </c>
      <c r="H394" t="s">
        <v>38</v>
      </c>
      <c r="I394" t="s">
        <v>46</v>
      </c>
      <c r="J394">
        <v>1522</v>
      </c>
      <c r="K394">
        <v>1439</v>
      </c>
      <c r="L394">
        <v>44</v>
      </c>
      <c r="M394">
        <v>25</v>
      </c>
      <c r="N394">
        <v>1374</v>
      </c>
      <c r="O394">
        <v>36</v>
      </c>
      <c r="P394">
        <v>7</v>
      </c>
      <c r="Q394" t="s">
        <v>80</v>
      </c>
      <c r="R394" t="s">
        <v>81</v>
      </c>
      <c r="S394" t="s">
        <v>82</v>
      </c>
      <c r="T394">
        <v>1</v>
      </c>
      <c r="U394">
        <v>5</v>
      </c>
      <c r="V394" s="6">
        <v>79.739999999999995</v>
      </c>
      <c r="W394" s="6">
        <v>1732.79</v>
      </c>
      <c r="X394" t="s">
        <v>94</v>
      </c>
      <c r="Y394" s="7">
        <f t="shared" si="42"/>
        <v>3.0576789437109102E-2</v>
      </c>
      <c r="Z394" s="7">
        <f t="shared" si="43"/>
        <v>0.95482974287699796</v>
      </c>
      <c r="AA394">
        <f t="shared" si="44"/>
        <v>83</v>
      </c>
      <c r="AB394" s="8">
        <f t="shared" si="45"/>
        <v>3508.56</v>
      </c>
      <c r="AC394">
        <f t="shared" si="46"/>
        <v>41.7</v>
      </c>
      <c r="AD394" t="str">
        <f t="shared" si="47"/>
        <v>Medium</v>
      </c>
      <c r="AE394" t="str">
        <f t="shared" si="48"/>
        <v>No</v>
      </c>
    </row>
    <row r="395" spans="1:31" x14ac:dyDescent="0.35">
      <c r="A395" t="s">
        <v>506</v>
      </c>
      <c r="B395" s="5">
        <v>46209</v>
      </c>
      <c r="C395" t="s">
        <v>503</v>
      </c>
      <c r="D395" t="s">
        <v>20</v>
      </c>
      <c r="E395" t="s">
        <v>78</v>
      </c>
      <c r="F395" t="s">
        <v>29</v>
      </c>
      <c r="G395" t="s">
        <v>79</v>
      </c>
      <c r="H395" t="s">
        <v>36</v>
      </c>
      <c r="I395" t="s">
        <v>44</v>
      </c>
      <c r="J395">
        <v>976</v>
      </c>
      <c r="K395">
        <v>948</v>
      </c>
      <c r="L395">
        <v>10</v>
      </c>
      <c r="M395">
        <v>3</v>
      </c>
      <c r="N395">
        <v>927</v>
      </c>
      <c r="O395">
        <v>70.5</v>
      </c>
      <c r="P395">
        <v>3.8</v>
      </c>
      <c r="Q395" t="s">
        <v>86</v>
      </c>
      <c r="R395" t="s">
        <v>81</v>
      </c>
      <c r="S395" t="s">
        <v>82</v>
      </c>
      <c r="T395">
        <v>4</v>
      </c>
      <c r="U395">
        <v>1</v>
      </c>
      <c r="V395" s="6">
        <v>451.01</v>
      </c>
      <c r="W395" s="6">
        <v>1169.5</v>
      </c>
      <c r="X395" t="s">
        <v>94</v>
      </c>
      <c r="Y395" s="7">
        <f t="shared" si="42"/>
        <v>1.0548523206751054E-2</v>
      </c>
      <c r="Z395" s="7">
        <f t="shared" si="43"/>
        <v>0.97784810126582278</v>
      </c>
      <c r="AA395">
        <f t="shared" si="44"/>
        <v>28</v>
      </c>
      <c r="AB395" s="8">
        <f t="shared" si="45"/>
        <v>4510.1000000000004</v>
      </c>
      <c r="AC395">
        <f t="shared" si="46"/>
        <v>34.5</v>
      </c>
      <c r="AD395" t="str">
        <f t="shared" si="47"/>
        <v>Low</v>
      </c>
      <c r="AE395" t="str">
        <f t="shared" si="48"/>
        <v>Yes</v>
      </c>
    </row>
    <row r="396" spans="1:31" x14ac:dyDescent="0.35">
      <c r="A396" t="s">
        <v>507</v>
      </c>
      <c r="B396" s="5">
        <v>46209</v>
      </c>
      <c r="C396" t="s">
        <v>503</v>
      </c>
      <c r="D396" t="s">
        <v>20</v>
      </c>
      <c r="E396" t="s">
        <v>78</v>
      </c>
      <c r="F396" t="s">
        <v>32</v>
      </c>
      <c r="G396" t="s">
        <v>90</v>
      </c>
      <c r="H396" t="s">
        <v>39</v>
      </c>
      <c r="I396" t="s">
        <v>48</v>
      </c>
      <c r="J396">
        <v>1181</v>
      </c>
      <c r="K396">
        <v>1238</v>
      </c>
      <c r="L396">
        <v>31</v>
      </c>
      <c r="M396">
        <v>14</v>
      </c>
      <c r="N396">
        <v>1184</v>
      </c>
      <c r="O396">
        <v>45.2</v>
      </c>
      <c r="P396">
        <v>8.6999999999999993</v>
      </c>
      <c r="Q396" t="s">
        <v>86</v>
      </c>
      <c r="R396" t="s">
        <v>81</v>
      </c>
      <c r="S396" t="s">
        <v>82</v>
      </c>
      <c r="T396">
        <v>3</v>
      </c>
      <c r="U396">
        <v>2</v>
      </c>
      <c r="V396" s="6">
        <v>269.68</v>
      </c>
      <c r="W396" s="6">
        <v>5585.84</v>
      </c>
      <c r="X396" t="s">
        <v>91</v>
      </c>
      <c r="Y396" s="7">
        <f t="shared" si="42"/>
        <v>2.5040387722132473E-2</v>
      </c>
      <c r="Z396" s="7">
        <f t="shared" si="43"/>
        <v>0.95638126009693059</v>
      </c>
      <c r="AA396">
        <f t="shared" si="44"/>
        <v>-57</v>
      </c>
      <c r="AB396" s="8">
        <f t="shared" si="45"/>
        <v>8360.08</v>
      </c>
      <c r="AC396">
        <f t="shared" si="46"/>
        <v>56.3</v>
      </c>
      <c r="AD396" t="str">
        <f t="shared" si="47"/>
        <v>Medium</v>
      </c>
      <c r="AE396" t="str">
        <f t="shared" si="48"/>
        <v>Yes</v>
      </c>
    </row>
    <row r="397" spans="1:31" x14ac:dyDescent="0.35">
      <c r="A397" t="s">
        <v>508</v>
      </c>
      <c r="B397" s="5">
        <v>46209</v>
      </c>
      <c r="C397" t="s">
        <v>503</v>
      </c>
      <c r="D397" t="s">
        <v>24</v>
      </c>
      <c r="E397" t="s">
        <v>78</v>
      </c>
      <c r="F397" t="s">
        <v>30</v>
      </c>
      <c r="G397" t="s">
        <v>79</v>
      </c>
      <c r="H397" t="s">
        <v>40</v>
      </c>
      <c r="I397" t="s">
        <v>44</v>
      </c>
      <c r="J397">
        <v>1275</v>
      </c>
      <c r="K397">
        <v>1216</v>
      </c>
      <c r="L397">
        <v>27</v>
      </c>
      <c r="M397">
        <v>13</v>
      </c>
      <c r="N397">
        <v>1098</v>
      </c>
      <c r="O397">
        <v>30.8</v>
      </c>
      <c r="P397">
        <v>16</v>
      </c>
      <c r="Q397" t="s">
        <v>86</v>
      </c>
      <c r="R397" t="s">
        <v>81</v>
      </c>
      <c r="S397" t="s">
        <v>82</v>
      </c>
      <c r="T397">
        <v>7</v>
      </c>
      <c r="U397">
        <v>3</v>
      </c>
      <c r="V397" s="6">
        <v>278.05</v>
      </c>
      <c r="W397" s="6">
        <v>4449.38</v>
      </c>
      <c r="X397" t="s">
        <v>91</v>
      </c>
      <c r="Y397" s="7">
        <f t="shared" si="42"/>
        <v>2.2203947368421052E-2</v>
      </c>
      <c r="Z397" s="7">
        <f t="shared" si="43"/>
        <v>0.90296052631578949</v>
      </c>
      <c r="AA397">
        <f t="shared" si="44"/>
        <v>59</v>
      </c>
      <c r="AB397" s="8">
        <f t="shared" si="45"/>
        <v>7507.35</v>
      </c>
      <c r="AC397">
        <f t="shared" si="46"/>
        <v>65.400000000000006</v>
      </c>
      <c r="AD397" t="str">
        <f t="shared" si="47"/>
        <v>High</v>
      </c>
      <c r="AE397" t="str">
        <f t="shared" si="48"/>
        <v>Yes</v>
      </c>
    </row>
    <row r="398" spans="1:31" x14ac:dyDescent="0.35">
      <c r="A398" t="s">
        <v>509</v>
      </c>
      <c r="B398" s="5">
        <v>46209</v>
      </c>
      <c r="C398" t="s">
        <v>503</v>
      </c>
      <c r="D398" t="s">
        <v>24</v>
      </c>
      <c r="E398" t="s">
        <v>78</v>
      </c>
      <c r="F398" t="s">
        <v>30</v>
      </c>
      <c r="G398" t="s">
        <v>79</v>
      </c>
      <c r="H398" t="s">
        <v>34</v>
      </c>
      <c r="I398" t="s">
        <v>45</v>
      </c>
      <c r="J398">
        <v>805</v>
      </c>
      <c r="K398">
        <v>865</v>
      </c>
      <c r="L398">
        <v>18</v>
      </c>
      <c r="M398">
        <v>10</v>
      </c>
      <c r="N398">
        <v>824</v>
      </c>
      <c r="O398">
        <v>67.900000000000006</v>
      </c>
      <c r="P398">
        <v>4.8</v>
      </c>
      <c r="Q398" t="s">
        <v>80</v>
      </c>
      <c r="R398" t="s">
        <v>81</v>
      </c>
      <c r="S398" t="s">
        <v>82</v>
      </c>
      <c r="T398">
        <v>3</v>
      </c>
      <c r="U398">
        <v>1</v>
      </c>
      <c r="V398" s="6">
        <v>123.67</v>
      </c>
      <c r="W398" s="6">
        <v>1119.17</v>
      </c>
      <c r="X398" t="s">
        <v>115</v>
      </c>
      <c r="Y398" s="7">
        <f t="shared" si="42"/>
        <v>2.0809248554913295E-2</v>
      </c>
      <c r="Z398" s="7">
        <f t="shared" si="43"/>
        <v>0.95260115606936413</v>
      </c>
      <c r="AA398">
        <f t="shared" si="44"/>
        <v>-60</v>
      </c>
      <c r="AB398" s="8">
        <f t="shared" si="45"/>
        <v>2226.06</v>
      </c>
      <c r="AC398">
        <f t="shared" si="46"/>
        <v>29.2</v>
      </c>
      <c r="AD398" t="str">
        <f t="shared" si="47"/>
        <v>Low</v>
      </c>
      <c r="AE398" t="str">
        <f t="shared" si="48"/>
        <v>No</v>
      </c>
    </row>
    <row r="399" spans="1:31" x14ac:dyDescent="0.35">
      <c r="A399" t="s">
        <v>510</v>
      </c>
      <c r="B399" s="5">
        <v>46209</v>
      </c>
      <c r="C399" t="s">
        <v>503</v>
      </c>
      <c r="D399" t="s">
        <v>22</v>
      </c>
      <c r="E399" t="s">
        <v>93</v>
      </c>
      <c r="F399" t="s">
        <v>30</v>
      </c>
      <c r="G399" t="s">
        <v>85</v>
      </c>
      <c r="H399" t="s">
        <v>39</v>
      </c>
      <c r="I399" t="s">
        <v>46</v>
      </c>
      <c r="J399">
        <v>930</v>
      </c>
      <c r="K399">
        <v>906</v>
      </c>
      <c r="L399">
        <v>16</v>
      </c>
      <c r="M399">
        <v>7</v>
      </c>
      <c r="N399">
        <v>887</v>
      </c>
      <c r="O399">
        <v>53.4</v>
      </c>
      <c r="P399">
        <v>10.7</v>
      </c>
      <c r="Q399" t="s">
        <v>80</v>
      </c>
      <c r="R399" t="s">
        <v>81</v>
      </c>
      <c r="S399" t="s">
        <v>82</v>
      </c>
      <c r="T399">
        <v>3</v>
      </c>
      <c r="U399">
        <v>1</v>
      </c>
      <c r="V399" s="6">
        <v>452.46</v>
      </c>
      <c r="W399" s="6">
        <v>4077.8</v>
      </c>
      <c r="X399" t="s">
        <v>83</v>
      </c>
      <c r="Y399" s="7">
        <f t="shared" si="42"/>
        <v>1.7660044150110375E-2</v>
      </c>
      <c r="Z399" s="7">
        <f t="shared" si="43"/>
        <v>0.97902869757174393</v>
      </c>
      <c r="AA399">
        <f t="shared" si="44"/>
        <v>24</v>
      </c>
      <c r="AB399" s="8">
        <f t="shared" si="45"/>
        <v>7239.36</v>
      </c>
      <c r="AC399">
        <f t="shared" si="46"/>
        <v>32.5</v>
      </c>
      <c r="AD399" t="str">
        <f t="shared" si="47"/>
        <v>Low</v>
      </c>
      <c r="AE399" t="str">
        <f t="shared" si="48"/>
        <v>No</v>
      </c>
    </row>
    <row r="400" spans="1:31" x14ac:dyDescent="0.35">
      <c r="A400" t="s">
        <v>511</v>
      </c>
      <c r="B400" s="5">
        <v>46209</v>
      </c>
      <c r="C400" t="s">
        <v>503</v>
      </c>
      <c r="D400" t="s">
        <v>20</v>
      </c>
      <c r="E400" t="s">
        <v>78</v>
      </c>
      <c r="F400" t="s">
        <v>31</v>
      </c>
      <c r="G400" t="s">
        <v>90</v>
      </c>
      <c r="H400" t="s">
        <v>36</v>
      </c>
      <c r="I400" t="s">
        <v>44</v>
      </c>
      <c r="J400">
        <v>855</v>
      </c>
      <c r="K400">
        <v>847</v>
      </c>
      <c r="L400">
        <v>12</v>
      </c>
      <c r="M400">
        <v>9</v>
      </c>
      <c r="N400">
        <v>832</v>
      </c>
      <c r="O400">
        <v>61.6</v>
      </c>
      <c r="P400">
        <v>7.8</v>
      </c>
      <c r="Q400" t="s">
        <v>80</v>
      </c>
      <c r="R400" t="s">
        <v>81</v>
      </c>
      <c r="S400" t="s">
        <v>138</v>
      </c>
      <c r="T400">
        <v>2</v>
      </c>
      <c r="U400">
        <v>2</v>
      </c>
      <c r="V400" s="6">
        <v>245.97</v>
      </c>
      <c r="W400" s="6">
        <v>1086.01</v>
      </c>
      <c r="X400" t="s">
        <v>151</v>
      </c>
      <c r="Y400" s="7">
        <f t="shared" si="42"/>
        <v>1.4167650531286895E-2</v>
      </c>
      <c r="Z400" s="7">
        <f t="shared" si="43"/>
        <v>0.98229043683589135</v>
      </c>
      <c r="AA400">
        <f t="shared" si="44"/>
        <v>8</v>
      </c>
      <c r="AB400" s="8">
        <f t="shared" si="45"/>
        <v>2951.64</v>
      </c>
      <c r="AC400">
        <f t="shared" si="46"/>
        <v>37.1</v>
      </c>
      <c r="AD400" t="str">
        <f t="shared" si="47"/>
        <v>Low</v>
      </c>
      <c r="AE400" t="str">
        <f t="shared" si="48"/>
        <v>Yes</v>
      </c>
    </row>
    <row r="401" spans="1:31" x14ac:dyDescent="0.35">
      <c r="A401" t="s">
        <v>512</v>
      </c>
      <c r="B401" s="5">
        <v>46209</v>
      </c>
      <c r="C401" t="s">
        <v>503</v>
      </c>
      <c r="D401" t="s">
        <v>25</v>
      </c>
      <c r="E401" t="s">
        <v>89</v>
      </c>
      <c r="F401" t="s">
        <v>30</v>
      </c>
      <c r="G401" t="s">
        <v>90</v>
      </c>
      <c r="H401" t="s">
        <v>34</v>
      </c>
      <c r="I401" t="s">
        <v>44</v>
      </c>
      <c r="J401">
        <v>854</v>
      </c>
      <c r="K401">
        <v>781</v>
      </c>
      <c r="L401">
        <v>17</v>
      </c>
      <c r="M401">
        <v>14</v>
      </c>
      <c r="N401">
        <v>693</v>
      </c>
      <c r="O401">
        <v>37.700000000000003</v>
      </c>
      <c r="P401">
        <v>2</v>
      </c>
      <c r="Q401" t="s">
        <v>80</v>
      </c>
      <c r="R401" t="s">
        <v>81</v>
      </c>
      <c r="S401" t="s">
        <v>82</v>
      </c>
      <c r="T401">
        <v>3</v>
      </c>
      <c r="U401">
        <v>2</v>
      </c>
      <c r="V401" s="6">
        <v>296.26</v>
      </c>
      <c r="W401" s="6">
        <v>2777.93</v>
      </c>
      <c r="X401" t="s">
        <v>94</v>
      </c>
      <c r="Y401" s="7">
        <f t="shared" si="42"/>
        <v>2.176696542893726E-2</v>
      </c>
      <c r="Z401" s="7">
        <f t="shared" si="43"/>
        <v>0.88732394366197187</v>
      </c>
      <c r="AA401">
        <f t="shared" si="44"/>
        <v>73</v>
      </c>
      <c r="AB401" s="8">
        <f t="shared" si="45"/>
        <v>5036.42</v>
      </c>
      <c r="AC401">
        <f t="shared" si="46"/>
        <v>29.4</v>
      </c>
      <c r="AD401" t="str">
        <f t="shared" si="47"/>
        <v>Low</v>
      </c>
      <c r="AE401" t="str">
        <f t="shared" si="48"/>
        <v>No</v>
      </c>
    </row>
    <row r="402" spans="1:31" x14ac:dyDescent="0.35">
      <c r="A402" t="s">
        <v>513</v>
      </c>
      <c r="B402" s="5">
        <v>46209</v>
      </c>
      <c r="C402" t="s">
        <v>503</v>
      </c>
      <c r="D402" t="s">
        <v>24</v>
      </c>
      <c r="E402" t="s">
        <v>78</v>
      </c>
      <c r="F402" t="s">
        <v>27</v>
      </c>
      <c r="G402" t="s">
        <v>90</v>
      </c>
      <c r="H402" t="s">
        <v>40</v>
      </c>
      <c r="I402" t="s">
        <v>44</v>
      </c>
      <c r="J402">
        <v>791</v>
      </c>
      <c r="K402">
        <v>790</v>
      </c>
      <c r="L402">
        <v>21</v>
      </c>
      <c r="M402">
        <v>7</v>
      </c>
      <c r="N402">
        <v>770</v>
      </c>
      <c r="O402">
        <v>71.7</v>
      </c>
      <c r="P402">
        <v>16.600000000000001</v>
      </c>
      <c r="Q402" t="s">
        <v>96</v>
      </c>
      <c r="R402" t="s">
        <v>81</v>
      </c>
      <c r="S402" t="s">
        <v>82</v>
      </c>
      <c r="T402">
        <v>3</v>
      </c>
      <c r="U402">
        <v>2</v>
      </c>
      <c r="V402" s="6">
        <v>141</v>
      </c>
      <c r="W402" s="6">
        <v>1985.02</v>
      </c>
      <c r="X402" t="s">
        <v>121</v>
      </c>
      <c r="Y402" s="7">
        <f t="shared" si="42"/>
        <v>2.6582278481012658E-2</v>
      </c>
      <c r="Z402" s="7">
        <f t="shared" si="43"/>
        <v>0.97468354430379744</v>
      </c>
      <c r="AA402">
        <f t="shared" si="44"/>
        <v>1</v>
      </c>
      <c r="AB402" s="8">
        <f t="shared" si="45"/>
        <v>2961</v>
      </c>
      <c r="AC402">
        <f t="shared" si="46"/>
        <v>59.3</v>
      </c>
      <c r="AD402" t="str">
        <f t="shared" si="47"/>
        <v>Medium</v>
      </c>
      <c r="AE402" t="str">
        <f t="shared" si="48"/>
        <v>No</v>
      </c>
    </row>
    <row r="403" spans="1:31" x14ac:dyDescent="0.35">
      <c r="A403" t="s">
        <v>514</v>
      </c>
      <c r="B403" s="5">
        <v>46209</v>
      </c>
      <c r="C403" t="s">
        <v>503</v>
      </c>
      <c r="D403" t="s">
        <v>23</v>
      </c>
      <c r="E403" t="s">
        <v>78</v>
      </c>
      <c r="F403" t="s">
        <v>29</v>
      </c>
      <c r="G403" t="s">
        <v>85</v>
      </c>
      <c r="H403" t="s">
        <v>34</v>
      </c>
      <c r="I403" t="s">
        <v>45</v>
      </c>
      <c r="J403">
        <v>900</v>
      </c>
      <c r="K403">
        <v>896</v>
      </c>
      <c r="L403">
        <v>38</v>
      </c>
      <c r="M403">
        <v>24</v>
      </c>
      <c r="N403">
        <v>824</v>
      </c>
      <c r="O403">
        <v>19.399999999999999</v>
      </c>
      <c r="P403">
        <v>0.8</v>
      </c>
      <c r="Q403" t="s">
        <v>86</v>
      </c>
      <c r="R403" t="s">
        <v>81</v>
      </c>
      <c r="S403" t="s">
        <v>138</v>
      </c>
      <c r="T403">
        <v>9</v>
      </c>
      <c r="U403">
        <v>3</v>
      </c>
      <c r="V403" s="6">
        <v>105.28</v>
      </c>
      <c r="W403" s="6">
        <v>2147.19</v>
      </c>
      <c r="X403" t="s">
        <v>83</v>
      </c>
      <c r="Y403" s="7">
        <f t="shared" si="42"/>
        <v>4.2410714285714288E-2</v>
      </c>
      <c r="Z403" s="7">
        <f t="shared" si="43"/>
        <v>0.9196428571428571</v>
      </c>
      <c r="AA403">
        <f t="shared" si="44"/>
        <v>4</v>
      </c>
      <c r="AB403" s="8">
        <f t="shared" si="45"/>
        <v>4000.64</v>
      </c>
      <c r="AC403">
        <f t="shared" si="46"/>
        <v>77.099999999999994</v>
      </c>
      <c r="AD403" t="str">
        <f t="shared" si="47"/>
        <v>High</v>
      </c>
      <c r="AE403" t="str">
        <f t="shared" si="48"/>
        <v>Yes</v>
      </c>
    </row>
    <row r="404" spans="1:31" x14ac:dyDescent="0.35">
      <c r="A404" t="s">
        <v>515</v>
      </c>
      <c r="B404" s="5">
        <v>46209</v>
      </c>
      <c r="C404" t="s">
        <v>503</v>
      </c>
      <c r="D404" t="s">
        <v>20</v>
      </c>
      <c r="E404" t="s">
        <v>78</v>
      </c>
      <c r="F404" t="s">
        <v>29</v>
      </c>
      <c r="G404" t="s">
        <v>85</v>
      </c>
      <c r="H404" t="s">
        <v>38</v>
      </c>
      <c r="I404" t="s">
        <v>44</v>
      </c>
      <c r="J404">
        <v>1485</v>
      </c>
      <c r="K404">
        <v>1420</v>
      </c>
      <c r="L404">
        <v>30</v>
      </c>
      <c r="M404">
        <v>14</v>
      </c>
      <c r="N404">
        <v>1380</v>
      </c>
      <c r="O404">
        <v>52.9</v>
      </c>
      <c r="P404">
        <v>0</v>
      </c>
      <c r="Q404" t="s">
        <v>80</v>
      </c>
      <c r="R404" t="s">
        <v>81</v>
      </c>
      <c r="S404" t="s">
        <v>82</v>
      </c>
      <c r="T404">
        <v>2</v>
      </c>
      <c r="U404">
        <v>2</v>
      </c>
      <c r="V404" s="6">
        <v>181.84</v>
      </c>
      <c r="W404" s="6">
        <v>4207.47</v>
      </c>
      <c r="X404" t="s">
        <v>94</v>
      </c>
      <c r="Y404" s="7">
        <f t="shared" si="42"/>
        <v>2.1126760563380281E-2</v>
      </c>
      <c r="Z404" s="7">
        <f t="shared" si="43"/>
        <v>0.971830985915493</v>
      </c>
      <c r="AA404">
        <f t="shared" si="44"/>
        <v>65</v>
      </c>
      <c r="AB404" s="8">
        <f t="shared" si="45"/>
        <v>5455.2</v>
      </c>
      <c r="AC404">
        <f t="shared" si="46"/>
        <v>22.4</v>
      </c>
      <c r="AD404" t="str">
        <f t="shared" si="47"/>
        <v>Low</v>
      </c>
      <c r="AE404" t="str">
        <f t="shared" si="48"/>
        <v>No</v>
      </c>
    </row>
    <row r="405" spans="1:31" x14ac:dyDescent="0.35">
      <c r="A405" t="s">
        <v>516</v>
      </c>
      <c r="B405" s="5">
        <v>46209</v>
      </c>
      <c r="C405" t="s">
        <v>503</v>
      </c>
      <c r="D405" t="s">
        <v>22</v>
      </c>
      <c r="E405" t="s">
        <v>93</v>
      </c>
      <c r="F405" t="s">
        <v>31</v>
      </c>
      <c r="G405" t="s">
        <v>90</v>
      </c>
      <c r="H405" t="s">
        <v>40</v>
      </c>
      <c r="I405" t="s">
        <v>44</v>
      </c>
      <c r="J405">
        <v>1315</v>
      </c>
      <c r="K405">
        <v>1340</v>
      </c>
      <c r="L405">
        <v>13</v>
      </c>
      <c r="M405">
        <v>8</v>
      </c>
      <c r="N405">
        <v>1215</v>
      </c>
      <c r="O405">
        <v>36.700000000000003</v>
      </c>
      <c r="P405">
        <v>6</v>
      </c>
      <c r="Q405" t="s">
        <v>80</v>
      </c>
      <c r="R405" t="s">
        <v>81</v>
      </c>
      <c r="S405" t="s">
        <v>82</v>
      </c>
      <c r="T405">
        <v>0</v>
      </c>
      <c r="U405">
        <v>0</v>
      </c>
      <c r="V405" s="6">
        <v>94.33</v>
      </c>
      <c r="W405" s="6">
        <v>980.46</v>
      </c>
      <c r="X405" t="s">
        <v>94</v>
      </c>
      <c r="Y405" s="7">
        <f t="shared" si="42"/>
        <v>9.7014925373134324E-3</v>
      </c>
      <c r="Z405" s="7">
        <f t="shared" si="43"/>
        <v>0.90671641791044777</v>
      </c>
      <c r="AA405">
        <f t="shared" si="44"/>
        <v>-25</v>
      </c>
      <c r="AB405" s="8">
        <f t="shared" si="45"/>
        <v>1226.29</v>
      </c>
      <c r="AC405">
        <f t="shared" si="46"/>
        <v>21.7</v>
      </c>
      <c r="AD405" t="str">
        <f t="shared" si="47"/>
        <v>Low</v>
      </c>
      <c r="AE405" t="str">
        <f t="shared" si="48"/>
        <v>No</v>
      </c>
    </row>
    <row r="406" spans="1:31" x14ac:dyDescent="0.35">
      <c r="A406" t="s">
        <v>517</v>
      </c>
      <c r="B406" s="5">
        <v>46209</v>
      </c>
      <c r="C406" t="s">
        <v>503</v>
      </c>
      <c r="D406" t="s">
        <v>24</v>
      </c>
      <c r="E406" t="s">
        <v>78</v>
      </c>
      <c r="F406" t="s">
        <v>32</v>
      </c>
      <c r="G406" t="s">
        <v>90</v>
      </c>
      <c r="H406" t="s">
        <v>36</v>
      </c>
      <c r="I406" t="s">
        <v>42</v>
      </c>
      <c r="J406">
        <v>1431</v>
      </c>
      <c r="K406">
        <v>1464</v>
      </c>
      <c r="L406">
        <v>39</v>
      </c>
      <c r="M406">
        <v>29</v>
      </c>
      <c r="N406">
        <v>1293</v>
      </c>
      <c r="O406">
        <v>18.399999999999999</v>
      </c>
      <c r="P406">
        <v>0</v>
      </c>
      <c r="Q406" t="s">
        <v>80</v>
      </c>
      <c r="R406" t="s">
        <v>81</v>
      </c>
      <c r="S406" t="s">
        <v>82</v>
      </c>
      <c r="T406">
        <v>12</v>
      </c>
      <c r="U406">
        <v>5</v>
      </c>
      <c r="V406" s="6">
        <v>343.8</v>
      </c>
      <c r="W406" s="6">
        <v>4772.55</v>
      </c>
      <c r="X406" t="s">
        <v>91</v>
      </c>
      <c r="Y406" s="7">
        <f t="shared" si="42"/>
        <v>2.663934426229508E-2</v>
      </c>
      <c r="Z406" s="7">
        <f t="shared" si="43"/>
        <v>0.88319672131147542</v>
      </c>
      <c r="AA406">
        <f t="shared" si="44"/>
        <v>-33</v>
      </c>
      <c r="AB406" s="8">
        <f t="shared" si="45"/>
        <v>13408.2</v>
      </c>
      <c r="AC406">
        <f t="shared" si="46"/>
        <v>31.9</v>
      </c>
      <c r="AD406" t="str">
        <f t="shared" si="47"/>
        <v>Low</v>
      </c>
      <c r="AE406" t="str">
        <f t="shared" si="48"/>
        <v>No</v>
      </c>
    </row>
    <row r="407" spans="1:31" x14ac:dyDescent="0.35">
      <c r="A407" t="s">
        <v>518</v>
      </c>
      <c r="B407" s="5">
        <v>46216</v>
      </c>
      <c r="C407" t="s">
        <v>503</v>
      </c>
      <c r="D407" t="s">
        <v>22</v>
      </c>
      <c r="E407" t="s">
        <v>93</v>
      </c>
      <c r="F407" t="s">
        <v>31</v>
      </c>
      <c r="G407" t="s">
        <v>85</v>
      </c>
      <c r="H407" t="s">
        <v>37</v>
      </c>
      <c r="I407" t="s">
        <v>42</v>
      </c>
      <c r="J407">
        <v>1307</v>
      </c>
      <c r="K407">
        <v>1250</v>
      </c>
      <c r="L407">
        <v>24</v>
      </c>
      <c r="M407">
        <v>8</v>
      </c>
      <c r="N407">
        <v>1173</v>
      </c>
      <c r="O407">
        <v>74.099999999999994</v>
      </c>
      <c r="P407">
        <v>6.3</v>
      </c>
      <c r="Q407" t="s">
        <v>80</v>
      </c>
      <c r="R407" t="s">
        <v>81</v>
      </c>
      <c r="S407" t="s">
        <v>100</v>
      </c>
      <c r="T407">
        <v>3</v>
      </c>
      <c r="U407">
        <v>0</v>
      </c>
      <c r="V407" s="6">
        <v>287.77999999999997</v>
      </c>
      <c r="W407" s="6">
        <v>3324.36</v>
      </c>
      <c r="X407" t="s">
        <v>94</v>
      </c>
      <c r="Y407" s="7">
        <f t="shared" si="42"/>
        <v>1.9199999999999998E-2</v>
      </c>
      <c r="Z407" s="7">
        <f t="shared" si="43"/>
        <v>0.93840000000000001</v>
      </c>
      <c r="AA407">
        <f t="shared" si="44"/>
        <v>57</v>
      </c>
      <c r="AB407" s="8">
        <f t="shared" si="45"/>
        <v>6906.7199999999993</v>
      </c>
      <c r="AC407">
        <f t="shared" si="46"/>
        <v>30.2</v>
      </c>
      <c r="AD407" t="str">
        <f t="shared" si="47"/>
        <v>Low</v>
      </c>
      <c r="AE407" t="str">
        <f t="shared" si="48"/>
        <v>No</v>
      </c>
    </row>
    <row r="408" spans="1:31" x14ac:dyDescent="0.35">
      <c r="A408" t="s">
        <v>519</v>
      </c>
      <c r="B408" s="5">
        <v>46216</v>
      </c>
      <c r="C408" t="s">
        <v>503</v>
      </c>
      <c r="D408" t="s">
        <v>24</v>
      </c>
      <c r="E408" t="s">
        <v>78</v>
      </c>
      <c r="F408" t="s">
        <v>29</v>
      </c>
      <c r="G408" t="s">
        <v>85</v>
      </c>
      <c r="H408" t="s">
        <v>39</v>
      </c>
      <c r="I408" t="s">
        <v>46</v>
      </c>
      <c r="J408">
        <v>1279</v>
      </c>
      <c r="K408">
        <v>1261</v>
      </c>
      <c r="L408">
        <v>20</v>
      </c>
      <c r="M408">
        <v>8</v>
      </c>
      <c r="N408">
        <v>1250</v>
      </c>
      <c r="O408">
        <v>38.299999999999997</v>
      </c>
      <c r="P408">
        <v>6.9</v>
      </c>
      <c r="Q408" t="s">
        <v>80</v>
      </c>
      <c r="R408" t="s">
        <v>81</v>
      </c>
      <c r="S408" t="s">
        <v>82</v>
      </c>
      <c r="T408">
        <v>3</v>
      </c>
      <c r="U408">
        <v>2</v>
      </c>
      <c r="V408" s="6">
        <v>353.76</v>
      </c>
      <c r="W408" s="6">
        <v>4284.7</v>
      </c>
      <c r="X408" t="s">
        <v>110</v>
      </c>
      <c r="Y408" s="7">
        <f t="shared" si="42"/>
        <v>1.5860428231562251E-2</v>
      </c>
      <c r="Z408" s="7">
        <f t="shared" si="43"/>
        <v>0.99127676447264079</v>
      </c>
      <c r="AA408">
        <f t="shared" si="44"/>
        <v>18</v>
      </c>
      <c r="AB408" s="8">
        <f t="shared" si="45"/>
        <v>7075.2</v>
      </c>
      <c r="AC408">
        <f t="shared" si="46"/>
        <v>25.2</v>
      </c>
      <c r="AD408" t="str">
        <f t="shared" si="47"/>
        <v>Low</v>
      </c>
      <c r="AE408" t="str">
        <f t="shared" si="48"/>
        <v>No</v>
      </c>
    </row>
    <row r="409" spans="1:31" x14ac:dyDescent="0.35">
      <c r="A409" t="s">
        <v>520</v>
      </c>
      <c r="B409" s="5">
        <v>46216</v>
      </c>
      <c r="C409" t="s">
        <v>503</v>
      </c>
      <c r="D409" t="s">
        <v>24</v>
      </c>
      <c r="E409" t="s">
        <v>78</v>
      </c>
      <c r="F409" t="s">
        <v>31</v>
      </c>
      <c r="G409" t="s">
        <v>90</v>
      </c>
      <c r="H409" t="s">
        <v>40</v>
      </c>
      <c r="I409" t="s">
        <v>48</v>
      </c>
      <c r="J409">
        <v>1031</v>
      </c>
      <c r="K409">
        <v>1023</v>
      </c>
      <c r="L409">
        <v>7</v>
      </c>
      <c r="M409">
        <v>2</v>
      </c>
      <c r="N409">
        <v>915</v>
      </c>
      <c r="O409">
        <v>24.4</v>
      </c>
      <c r="P409">
        <v>9.5</v>
      </c>
      <c r="Q409" t="s">
        <v>80</v>
      </c>
      <c r="R409" t="s">
        <v>81</v>
      </c>
      <c r="S409" t="s">
        <v>100</v>
      </c>
      <c r="T409">
        <v>1</v>
      </c>
      <c r="U409">
        <v>0</v>
      </c>
      <c r="V409" s="6">
        <v>272.88</v>
      </c>
      <c r="W409" s="6">
        <v>727.9</v>
      </c>
      <c r="X409" t="s">
        <v>87</v>
      </c>
      <c r="Y409" s="7">
        <f t="shared" si="42"/>
        <v>6.8426197458455523E-3</v>
      </c>
      <c r="Z409" s="7">
        <f t="shared" si="43"/>
        <v>0.8944281524926686</v>
      </c>
      <c r="AA409">
        <f t="shared" si="44"/>
        <v>8</v>
      </c>
      <c r="AB409" s="8">
        <f t="shared" si="45"/>
        <v>1910.1599999999999</v>
      </c>
      <c r="AC409">
        <f t="shared" si="46"/>
        <v>23.9</v>
      </c>
      <c r="AD409" t="str">
        <f t="shared" si="47"/>
        <v>Low</v>
      </c>
      <c r="AE409" t="str">
        <f t="shared" si="48"/>
        <v>No</v>
      </c>
    </row>
    <row r="410" spans="1:31" x14ac:dyDescent="0.35">
      <c r="A410" t="s">
        <v>521</v>
      </c>
      <c r="B410" s="5">
        <v>46216</v>
      </c>
      <c r="C410" t="s">
        <v>503</v>
      </c>
      <c r="D410" t="s">
        <v>25</v>
      </c>
      <c r="E410" t="s">
        <v>89</v>
      </c>
      <c r="F410" t="s">
        <v>31</v>
      </c>
      <c r="G410" t="s">
        <v>85</v>
      </c>
      <c r="H410" t="s">
        <v>36</v>
      </c>
      <c r="I410" t="s">
        <v>45</v>
      </c>
      <c r="J410">
        <v>1400</v>
      </c>
      <c r="K410">
        <v>1256</v>
      </c>
      <c r="L410">
        <v>45</v>
      </c>
      <c r="M410">
        <v>28</v>
      </c>
      <c r="N410">
        <v>1112</v>
      </c>
      <c r="O410">
        <v>61.5</v>
      </c>
      <c r="P410">
        <v>6.7</v>
      </c>
      <c r="Q410" t="s">
        <v>80</v>
      </c>
      <c r="R410" t="s">
        <v>81</v>
      </c>
      <c r="S410" t="s">
        <v>82</v>
      </c>
      <c r="T410">
        <v>6</v>
      </c>
      <c r="U410">
        <v>1</v>
      </c>
      <c r="V410" s="6">
        <v>323.42</v>
      </c>
      <c r="W410" s="6">
        <v>8505.9</v>
      </c>
      <c r="X410" t="s">
        <v>94</v>
      </c>
      <c r="Y410" s="7">
        <f t="shared" si="42"/>
        <v>3.5828025477707005E-2</v>
      </c>
      <c r="Z410" s="7">
        <f t="shared" si="43"/>
        <v>0.88535031847133761</v>
      </c>
      <c r="AA410">
        <f t="shared" si="44"/>
        <v>144</v>
      </c>
      <c r="AB410" s="8">
        <f t="shared" si="45"/>
        <v>14553.900000000001</v>
      </c>
      <c r="AC410">
        <f t="shared" si="46"/>
        <v>49.7</v>
      </c>
      <c r="AD410" t="str">
        <f t="shared" si="47"/>
        <v>Medium</v>
      </c>
      <c r="AE410" t="str">
        <f t="shared" si="48"/>
        <v>No</v>
      </c>
    </row>
    <row r="411" spans="1:31" x14ac:dyDescent="0.35">
      <c r="A411" t="s">
        <v>522</v>
      </c>
      <c r="B411" s="5">
        <v>46216</v>
      </c>
      <c r="C411" t="s">
        <v>503</v>
      </c>
      <c r="D411" t="s">
        <v>23</v>
      </c>
      <c r="E411" t="s">
        <v>78</v>
      </c>
      <c r="F411" t="s">
        <v>29</v>
      </c>
      <c r="G411" t="s">
        <v>85</v>
      </c>
      <c r="H411" t="s">
        <v>34</v>
      </c>
      <c r="I411" t="s">
        <v>523</v>
      </c>
      <c r="J411">
        <v>884</v>
      </c>
      <c r="K411">
        <v>790</v>
      </c>
      <c r="L411">
        <v>9</v>
      </c>
      <c r="M411">
        <v>3</v>
      </c>
      <c r="N411">
        <v>741</v>
      </c>
      <c r="O411">
        <v>61.7</v>
      </c>
      <c r="P411">
        <v>13.2</v>
      </c>
      <c r="Q411" t="s">
        <v>86</v>
      </c>
      <c r="R411" t="s">
        <v>81</v>
      </c>
      <c r="S411" t="s">
        <v>82</v>
      </c>
      <c r="T411">
        <v>0</v>
      </c>
      <c r="U411">
        <v>3</v>
      </c>
      <c r="V411" s="6">
        <v>418.96</v>
      </c>
      <c r="W411" s="6">
        <v>2631.59</v>
      </c>
      <c r="X411" t="s">
        <v>121</v>
      </c>
      <c r="Y411" s="7">
        <f t="shared" si="42"/>
        <v>1.1392405063291139E-2</v>
      </c>
      <c r="Z411" s="7">
        <f t="shared" si="43"/>
        <v>0.9379746835443038</v>
      </c>
      <c r="AA411">
        <f t="shared" si="44"/>
        <v>94</v>
      </c>
      <c r="AB411" s="8">
        <f t="shared" si="45"/>
        <v>3770.64</v>
      </c>
      <c r="AC411">
        <f t="shared" si="46"/>
        <v>49.3</v>
      </c>
      <c r="AD411" t="str">
        <f t="shared" si="47"/>
        <v>Medium</v>
      </c>
      <c r="AE411" t="str">
        <f t="shared" si="48"/>
        <v>Yes</v>
      </c>
    </row>
    <row r="412" spans="1:31" x14ac:dyDescent="0.35">
      <c r="A412" t="s">
        <v>524</v>
      </c>
      <c r="B412" s="5">
        <v>46216</v>
      </c>
      <c r="C412" t="s">
        <v>503</v>
      </c>
      <c r="D412" t="s">
        <v>23</v>
      </c>
      <c r="E412" t="s">
        <v>78</v>
      </c>
      <c r="F412" t="s">
        <v>32</v>
      </c>
      <c r="G412" t="s">
        <v>90</v>
      </c>
      <c r="H412" t="s">
        <v>39</v>
      </c>
      <c r="I412" t="s">
        <v>45</v>
      </c>
      <c r="J412">
        <v>949</v>
      </c>
      <c r="K412">
        <v>893</v>
      </c>
      <c r="L412">
        <v>36</v>
      </c>
      <c r="M412">
        <v>17</v>
      </c>
      <c r="N412">
        <v>799</v>
      </c>
      <c r="O412">
        <v>55.8</v>
      </c>
      <c r="P412">
        <v>8.5</v>
      </c>
      <c r="Q412" t="s">
        <v>80</v>
      </c>
      <c r="R412" t="s">
        <v>81</v>
      </c>
      <c r="S412" t="s">
        <v>82</v>
      </c>
      <c r="T412">
        <v>3</v>
      </c>
      <c r="U412">
        <v>2</v>
      </c>
      <c r="V412" s="6">
        <v>61.17</v>
      </c>
      <c r="W412" s="6">
        <v>1107.45</v>
      </c>
      <c r="X412" t="s">
        <v>94</v>
      </c>
      <c r="Y412" s="7">
        <f t="shared" si="42"/>
        <v>4.0313549832026875E-2</v>
      </c>
      <c r="Z412" s="7">
        <f t="shared" si="43"/>
        <v>0.89473684210526316</v>
      </c>
      <c r="AA412">
        <f t="shared" si="44"/>
        <v>56</v>
      </c>
      <c r="AB412" s="8">
        <f t="shared" si="45"/>
        <v>2202.12</v>
      </c>
      <c r="AC412">
        <f t="shared" si="46"/>
        <v>56.1</v>
      </c>
      <c r="AD412" t="str">
        <f t="shared" si="47"/>
        <v>Medium</v>
      </c>
      <c r="AE412" t="str">
        <f t="shared" si="48"/>
        <v>No</v>
      </c>
    </row>
    <row r="413" spans="1:31" x14ac:dyDescent="0.35">
      <c r="A413" t="s">
        <v>525</v>
      </c>
      <c r="B413" s="5">
        <v>46216</v>
      </c>
      <c r="C413" t="s">
        <v>503</v>
      </c>
      <c r="D413" t="s">
        <v>22</v>
      </c>
      <c r="E413" t="s">
        <v>93</v>
      </c>
      <c r="F413" t="s">
        <v>27</v>
      </c>
      <c r="G413" t="s">
        <v>85</v>
      </c>
      <c r="H413" t="s">
        <v>38</v>
      </c>
      <c r="I413" t="s">
        <v>47</v>
      </c>
      <c r="J413">
        <v>948</v>
      </c>
      <c r="K413">
        <v>915</v>
      </c>
      <c r="L413">
        <v>18</v>
      </c>
      <c r="M413">
        <v>14</v>
      </c>
      <c r="N413">
        <v>907</v>
      </c>
      <c r="O413">
        <v>33.1</v>
      </c>
      <c r="P413">
        <v>11.9</v>
      </c>
      <c r="Q413" t="s">
        <v>80</v>
      </c>
      <c r="R413" t="s">
        <v>81</v>
      </c>
      <c r="S413" t="s">
        <v>138</v>
      </c>
      <c r="T413">
        <v>1</v>
      </c>
      <c r="U413">
        <v>3</v>
      </c>
      <c r="V413" s="6">
        <v>251.36</v>
      </c>
      <c r="W413" s="6">
        <v>3198.23</v>
      </c>
      <c r="X413" t="s">
        <v>110</v>
      </c>
      <c r="Y413" s="7">
        <f t="shared" si="42"/>
        <v>1.9672131147540985E-2</v>
      </c>
      <c r="Z413" s="7">
        <f t="shared" si="43"/>
        <v>0.99125683060109293</v>
      </c>
      <c r="AA413">
        <f t="shared" si="44"/>
        <v>33</v>
      </c>
      <c r="AB413" s="8">
        <f t="shared" si="45"/>
        <v>4524.4800000000005</v>
      </c>
      <c r="AC413">
        <f t="shared" si="46"/>
        <v>47.5</v>
      </c>
      <c r="AD413" t="str">
        <f t="shared" si="47"/>
        <v>Medium</v>
      </c>
      <c r="AE413" t="str">
        <f t="shared" si="48"/>
        <v>Yes</v>
      </c>
    </row>
    <row r="414" spans="1:31" x14ac:dyDescent="0.35">
      <c r="A414" t="s">
        <v>526</v>
      </c>
      <c r="B414" s="5">
        <v>46216</v>
      </c>
      <c r="C414" t="s">
        <v>503</v>
      </c>
      <c r="D414" t="s">
        <v>23</v>
      </c>
      <c r="E414" t="s">
        <v>78</v>
      </c>
      <c r="F414" t="s">
        <v>27</v>
      </c>
      <c r="G414" t="s">
        <v>90</v>
      </c>
      <c r="H414" t="s">
        <v>39</v>
      </c>
      <c r="I414" t="s">
        <v>48</v>
      </c>
      <c r="J414">
        <v>1516</v>
      </c>
      <c r="K414">
        <v>1450</v>
      </c>
      <c r="L414">
        <v>16</v>
      </c>
      <c r="M414">
        <v>12</v>
      </c>
      <c r="N414">
        <v>1420</v>
      </c>
      <c r="O414">
        <v>29.3</v>
      </c>
      <c r="P414">
        <v>8.9</v>
      </c>
      <c r="Q414" t="s">
        <v>80</v>
      </c>
      <c r="R414" t="s">
        <v>81</v>
      </c>
      <c r="S414" t="s">
        <v>82</v>
      </c>
      <c r="T414">
        <v>3</v>
      </c>
      <c r="U414">
        <v>3</v>
      </c>
      <c r="V414" s="6">
        <v>60.01</v>
      </c>
      <c r="W414" s="6">
        <v>331.06</v>
      </c>
      <c r="X414" t="s">
        <v>94</v>
      </c>
      <c r="Y414" s="7">
        <f t="shared" si="42"/>
        <v>1.1034482758620689E-2</v>
      </c>
      <c r="Z414" s="7">
        <f t="shared" si="43"/>
        <v>0.97931034482758617</v>
      </c>
      <c r="AA414">
        <f t="shared" si="44"/>
        <v>66</v>
      </c>
      <c r="AB414" s="8">
        <f t="shared" si="45"/>
        <v>960.16</v>
      </c>
      <c r="AC414">
        <f t="shared" si="46"/>
        <v>23.5</v>
      </c>
      <c r="AD414" t="str">
        <f t="shared" si="47"/>
        <v>Low</v>
      </c>
      <c r="AE414" t="str">
        <f t="shared" si="48"/>
        <v>No</v>
      </c>
    </row>
    <row r="415" spans="1:31" x14ac:dyDescent="0.35">
      <c r="A415" t="s">
        <v>527</v>
      </c>
      <c r="B415" s="5">
        <v>46216</v>
      </c>
      <c r="C415" t="s">
        <v>503</v>
      </c>
      <c r="D415" t="s">
        <v>24</v>
      </c>
      <c r="E415" t="s">
        <v>78</v>
      </c>
      <c r="F415" t="s">
        <v>32</v>
      </c>
      <c r="G415" t="s">
        <v>85</v>
      </c>
      <c r="H415" t="s">
        <v>36</v>
      </c>
      <c r="I415" t="s">
        <v>44</v>
      </c>
      <c r="J415">
        <v>1122</v>
      </c>
      <c r="K415">
        <v>1058</v>
      </c>
      <c r="L415">
        <v>13</v>
      </c>
      <c r="M415">
        <v>7</v>
      </c>
      <c r="N415">
        <v>1029</v>
      </c>
      <c r="O415">
        <v>36.200000000000003</v>
      </c>
      <c r="P415">
        <v>4.5999999999999996</v>
      </c>
      <c r="Q415" t="s">
        <v>80</v>
      </c>
      <c r="R415" t="s">
        <v>81</v>
      </c>
      <c r="S415" t="s">
        <v>82</v>
      </c>
      <c r="T415">
        <v>1</v>
      </c>
      <c r="U415">
        <v>2</v>
      </c>
      <c r="V415" s="6">
        <v>228.79</v>
      </c>
      <c r="W415" s="6">
        <v>2039.61</v>
      </c>
      <c r="X415" t="s">
        <v>94</v>
      </c>
      <c r="Y415" s="7">
        <f t="shared" si="42"/>
        <v>1.2287334593572778E-2</v>
      </c>
      <c r="Z415" s="7">
        <f t="shared" si="43"/>
        <v>0.97258979206049145</v>
      </c>
      <c r="AA415">
        <f t="shared" si="44"/>
        <v>64</v>
      </c>
      <c r="AB415" s="8">
        <f t="shared" si="45"/>
        <v>2974.27</v>
      </c>
      <c r="AC415">
        <f t="shared" si="46"/>
        <v>19.5</v>
      </c>
      <c r="AD415" t="str">
        <f t="shared" si="47"/>
        <v>Low</v>
      </c>
      <c r="AE415" t="str">
        <f t="shared" si="48"/>
        <v>No</v>
      </c>
    </row>
    <row r="416" spans="1:31" x14ac:dyDescent="0.35">
      <c r="A416" t="s">
        <v>528</v>
      </c>
      <c r="B416" s="5">
        <v>46216</v>
      </c>
      <c r="C416" t="s">
        <v>503</v>
      </c>
      <c r="D416" t="s">
        <v>25</v>
      </c>
      <c r="E416" t="s">
        <v>89</v>
      </c>
      <c r="F416" t="s">
        <v>30</v>
      </c>
      <c r="G416" t="s">
        <v>90</v>
      </c>
      <c r="H416" t="s">
        <v>39</v>
      </c>
      <c r="I416" t="s">
        <v>42</v>
      </c>
      <c r="J416">
        <v>1304</v>
      </c>
      <c r="K416">
        <v>1198</v>
      </c>
      <c r="L416">
        <v>27</v>
      </c>
      <c r="M416">
        <v>19</v>
      </c>
      <c r="N416">
        <v>1109</v>
      </c>
      <c r="O416">
        <v>63</v>
      </c>
      <c r="P416">
        <v>3</v>
      </c>
      <c r="Q416" t="s">
        <v>80</v>
      </c>
      <c r="R416" t="s">
        <v>81</v>
      </c>
      <c r="S416" t="s">
        <v>82</v>
      </c>
      <c r="T416">
        <v>5</v>
      </c>
      <c r="U416">
        <v>5</v>
      </c>
      <c r="V416" s="6">
        <v>94.29</v>
      </c>
      <c r="W416" s="6">
        <v>640.69000000000005</v>
      </c>
      <c r="X416" t="s">
        <v>87</v>
      </c>
      <c r="Y416" s="7">
        <f t="shared" si="42"/>
        <v>2.2537562604340568E-2</v>
      </c>
      <c r="Z416" s="7">
        <f t="shared" si="43"/>
        <v>0.92570951585976624</v>
      </c>
      <c r="AA416">
        <f t="shared" si="44"/>
        <v>106</v>
      </c>
      <c r="AB416" s="8">
        <f t="shared" si="45"/>
        <v>2545.8300000000004</v>
      </c>
      <c r="AC416">
        <f t="shared" si="46"/>
        <v>29.8</v>
      </c>
      <c r="AD416" t="str">
        <f t="shared" si="47"/>
        <v>Low</v>
      </c>
      <c r="AE416" t="str">
        <f t="shared" si="48"/>
        <v>No</v>
      </c>
    </row>
    <row r="417" spans="1:31" x14ac:dyDescent="0.35">
      <c r="A417" t="s">
        <v>529</v>
      </c>
      <c r="B417" s="5">
        <v>46216</v>
      </c>
      <c r="C417" t="s">
        <v>503</v>
      </c>
      <c r="D417" t="s">
        <v>23</v>
      </c>
      <c r="E417" t="s">
        <v>78</v>
      </c>
      <c r="F417" t="s">
        <v>32</v>
      </c>
      <c r="G417" t="s">
        <v>90</v>
      </c>
      <c r="H417" t="s">
        <v>38</v>
      </c>
      <c r="I417" t="s">
        <v>44</v>
      </c>
      <c r="J417">
        <v>877</v>
      </c>
      <c r="K417">
        <v>770</v>
      </c>
      <c r="L417">
        <v>10</v>
      </c>
      <c r="M417">
        <v>5</v>
      </c>
      <c r="N417">
        <v>758</v>
      </c>
      <c r="O417">
        <v>49.6</v>
      </c>
      <c r="P417">
        <v>13.2</v>
      </c>
      <c r="Q417" t="s">
        <v>80</v>
      </c>
      <c r="R417" t="s">
        <v>81</v>
      </c>
      <c r="S417" t="s">
        <v>82</v>
      </c>
      <c r="T417">
        <v>0</v>
      </c>
      <c r="U417">
        <v>4</v>
      </c>
      <c r="V417" s="6">
        <v>334.93</v>
      </c>
      <c r="W417" s="6">
        <v>2307.0500000000002</v>
      </c>
      <c r="X417" t="s">
        <v>94</v>
      </c>
      <c r="Y417" s="7">
        <f t="shared" si="42"/>
        <v>1.2987012987012988E-2</v>
      </c>
      <c r="Z417" s="7">
        <f t="shared" si="43"/>
        <v>0.98441558441558441</v>
      </c>
      <c r="AA417">
        <f t="shared" si="44"/>
        <v>107</v>
      </c>
      <c r="AB417" s="8">
        <f t="shared" si="45"/>
        <v>3349.3</v>
      </c>
      <c r="AC417">
        <f t="shared" si="46"/>
        <v>30.8</v>
      </c>
      <c r="AD417" t="str">
        <f t="shared" si="47"/>
        <v>Low</v>
      </c>
      <c r="AE417" t="str">
        <f t="shared" si="48"/>
        <v>No</v>
      </c>
    </row>
    <row r="418" spans="1:31" x14ac:dyDescent="0.35">
      <c r="A418" t="s">
        <v>530</v>
      </c>
      <c r="B418" s="5">
        <v>46216</v>
      </c>
      <c r="C418" t="s">
        <v>503</v>
      </c>
      <c r="D418" t="s">
        <v>25</v>
      </c>
      <c r="E418" t="s">
        <v>89</v>
      </c>
      <c r="F418" t="s">
        <v>30</v>
      </c>
      <c r="G418" t="s">
        <v>90</v>
      </c>
      <c r="H418" t="s">
        <v>34</v>
      </c>
      <c r="I418" t="s">
        <v>47</v>
      </c>
      <c r="J418">
        <v>905</v>
      </c>
      <c r="K418">
        <v>914</v>
      </c>
      <c r="L418">
        <v>31</v>
      </c>
      <c r="M418">
        <v>13</v>
      </c>
      <c r="N418">
        <v>914</v>
      </c>
      <c r="O418">
        <v>61.1</v>
      </c>
      <c r="P418">
        <v>14.7</v>
      </c>
      <c r="Q418" t="s">
        <v>80</v>
      </c>
      <c r="R418" t="s">
        <v>81</v>
      </c>
      <c r="S418" t="s">
        <v>82</v>
      </c>
      <c r="T418">
        <v>9</v>
      </c>
      <c r="U418">
        <v>4</v>
      </c>
      <c r="V418" s="6">
        <v>73.84</v>
      </c>
      <c r="W418" s="6">
        <v>694.45</v>
      </c>
      <c r="X418" t="s">
        <v>87</v>
      </c>
      <c r="Y418" s="7">
        <f t="shared" si="42"/>
        <v>3.3916849015317288E-2</v>
      </c>
      <c r="Z418" s="7">
        <f t="shared" si="43"/>
        <v>1</v>
      </c>
      <c r="AA418">
        <f t="shared" si="44"/>
        <v>-9</v>
      </c>
      <c r="AB418" s="8">
        <f t="shared" si="45"/>
        <v>2289.04</v>
      </c>
      <c r="AC418">
        <f t="shared" si="46"/>
        <v>53</v>
      </c>
      <c r="AD418" t="str">
        <f t="shared" si="47"/>
        <v>Medium</v>
      </c>
      <c r="AE418" t="str">
        <f t="shared" si="48"/>
        <v>No</v>
      </c>
    </row>
    <row r="419" spans="1:31" x14ac:dyDescent="0.35">
      <c r="A419" t="s">
        <v>531</v>
      </c>
      <c r="B419" s="5">
        <v>46216</v>
      </c>
      <c r="C419" t="s">
        <v>503</v>
      </c>
      <c r="D419" t="s">
        <v>23</v>
      </c>
      <c r="E419" t="s">
        <v>78</v>
      </c>
      <c r="F419" t="s">
        <v>32</v>
      </c>
      <c r="G419" t="s">
        <v>90</v>
      </c>
      <c r="H419" t="s">
        <v>40</v>
      </c>
      <c r="I419" t="s">
        <v>44</v>
      </c>
      <c r="J419">
        <v>1389</v>
      </c>
      <c r="K419">
        <v>1323</v>
      </c>
      <c r="L419">
        <v>20</v>
      </c>
      <c r="M419">
        <v>16</v>
      </c>
      <c r="N419">
        <v>1320</v>
      </c>
      <c r="O419">
        <v>59</v>
      </c>
      <c r="P419">
        <v>14.7</v>
      </c>
      <c r="Q419" t="s">
        <v>80</v>
      </c>
      <c r="R419" t="s">
        <v>81</v>
      </c>
      <c r="S419" t="s">
        <v>82</v>
      </c>
      <c r="T419">
        <v>1</v>
      </c>
      <c r="U419">
        <v>4</v>
      </c>
      <c r="V419" s="6">
        <v>453.54</v>
      </c>
      <c r="W419" s="6">
        <v>4938.43</v>
      </c>
      <c r="X419" t="s">
        <v>94</v>
      </c>
      <c r="Y419" s="7">
        <f t="shared" si="42"/>
        <v>1.5117157974300832E-2</v>
      </c>
      <c r="Z419" s="7">
        <f t="shared" si="43"/>
        <v>0.99773242630385484</v>
      </c>
      <c r="AA419">
        <f t="shared" si="44"/>
        <v>66</v>
      </c>
      <c r="AB419" s="8">
        <f t="shared" si="45"/>
        <v>9070.8000000000011</v>
      </c>
      <c r="AC419">
        <f t="shared" si="46"/>
        <v>34.299999999999997</v>
      </c>
      <c r="AD419" t="str">
        <f t="shared" si="47"/>
        <v>Low</v>
      </c>
      <c r="AE419" t="str">
        <f t="shared" si="48"/>
        <v>No</v>
      </c>
    </row>
    <row r="420" spans="1:31" x14ac:dyDescent="0.35">
      <c r="A420" t="s">
        <v>532</v>
      </c>
      <c r="B420" s="5">
        <v>46216</v>
      </c>
      <c r="C420" t="s">
        <v>503</v>
      </c>
      <c r="D420" t="s">
        <v>20</v>
      </c>
      <c r="E420" t="s">
        <v>78</v>
      </c>
      <c r="F420" t="s">
        <v>29</v>
      </c>
      <c r="G420" t="s">
        <v>79</v>
      </c>
      <c r="H420" t="s">
        <v>38</v>
      </c>
      <c r="I420" t="s">
        <v>48</v>
      </c>
      <c r="J420">
        <v>937</v>
      </c>
      <c r="K420">
        <v>956</v>
      </c>
      <c r="L420">
        <v>31</v>
      </c>
      <c r="M420">
        <v>15</v>
      </c>
      <c r="N420">
        <v>917</v>
      </c>
      <c r="O420">
        <v>67.900000000000006</v>
      </c>
      <c r="P420">
        <v>12.8</v>
      </c>
      <c r="Q420" t="s">
        <v>80</v>
      </c>
      <c r="R420" t="s">
        <v>81</v>
      </c>
      <c r="S420" t="s">
        <v>82</v>
      </c>
      <c r="T420">
        <v>2</v>
      </c>
      <c r="U420">
        <v>4</v>
      </c>
      <c r="V420" s="6">
        <v>242.79</v>
      </c>
      <c r="W420" s="6">
        <v>4597.24</v>
      </c>
      <c r="X420" t="s">
        <v>115</v>
      </c>
      <c r="Y420" s="7">
        <f t="shared" si="42"/>
        <v>3.2426778242677826E-2</v>
      </c>
      <c r="Z420" s="7">
        <f t="shared" si="43"/>
        <v>0.95920502092050208</v>
      </c>
      <c r="AA420">
        <f t="shared" si="44"/>
        <v>-19</v>
      </c>
      <c r="AB420" s="8">
        <f t="shared" si="45"/>
        <v>7526.49</v>
      </c>
      <c r="AC420">
        <f t="shared" si="46"/>
        <v>50.9</v>
      </c>
      <c r="AD420" t="str">
        <f t="shared" si="47"/>
        <v>Medium</v>
      </c>
      <c r="AE420" t="str">
        <f t="shared" si="48"/>
        <v>No</v>
      </c>
    </row>
    <row r="421" spans="1:31" x14ac:dyDescent="0.35">
      <c r="A421" t="s">
        <v>533</v>
      </c>
      <c r="B421" s="5">
        <v>46216</v>
      </c>
      <c r="C421" t="s">
        <v>503</v>
      </c>
      <c r="D421" t="s">
        <v>22</v>
      </c>
      <c r="E421" t="s">
        <v>93</v>
      </c>
      <c r="F421" t="s">
        <v>27</v>
      </c>
      <c r="G421" t="s">
        <v>79</v>
      </c>
      <c r="H421" t="s">
        <v>34</v>
      </c>
      <c r="I421" t="s">
        <v>48</v>
      </c>
      <c r="J421">
        <v>1455</v>
      </c>
      <c r="K421">
        <v>1461</v>
      </c>
      <c r="L421">
        <v>39</v>
      </c>
      <c r="M421">
        <v>18</v>
      </c>
      <c r="N421">
        <v>1413</v>
      </c>
      <c r="O421">
        <v>22.6</v>
      </c>
      <c r="P421">
        <v>13.3</v>
      </c>
      <c r="Q421" t="s">
        <v>80</v>
      </c>
      <c r="R421" t="s">
        <v>81</v>
      </c>
      <c r="S421" t="s">
        <v>82</v>
      </c>
      <c r="T421">
        <v>7</v>
      </c>
      <c r="U421">
        <v>5</v>
      </c>
      <c r="V421" s="6">
        <v>313.58</v>
      </c>
      <c r="W421" s="6">
        <v>5424.14</v>
      </c>
      <c r="X421" t="s">
        <v>94</v>
      </c>
      <c r="Y421" s="7">
        <f t="shared" si="42"/>
        <v>2.6694045174537988E-2</v>
      </c>
      <c r="Z421" s="7">
        <f t="shared" si="43"/>
        <v>0.96714579055441474</v>
      </c>
      <c r="AA421">
        <f t="shared" si="44"/>
        <v>-6</v>
      </c>
      <c r="AB421" s="8">
        <f t="shared" si="45"/>
        <v>12229.619999999999</v>
      </c>
      <c r="AC421">
        <f t="shared" si="46"/>
        <v>45.5</v>
      </c>
      <c r="AD421" t="str">
        <f t="shared" si="47"/>
        <v>Medium</v>
      </c>
      <c r="AE421" t="str">
        <f t="shared" si="48"/>
        <v>No</v>
      </c>
    </row>
    <row r="422" spans="1:31" x14ac:dyDescent="0.35">
      <c r="A422" t="s">
        <v>534</v>
      </c>
      <c r="B422" s="5">
        <v>46223</v>
      </c>
      <c r="C422" t="s">
        <v>503</v>
      </c>
      <c r="D422" t="s">
        <v>23</v>
      </c>
      <c r="E422" t="s">
        <v>78</v>
      </c>
      <c r="F422" t="s">
        <v>29</v>
      </c>
      <c r="G422" t="s">
        <v>85</v>
      </c>
      <c r="H422" t="s">
        <v>40</v>
      </c>
      <c r="I422" t="s">
        <v>44</v>
      </c>
      <c r="J422">
        <v>1124</v>
      </c>
      <c r="K422">
        <v>1026</v>
      </c>
      <c r="L422">
        <v>16</v>
      </c>
      <c r="M422">
        <v>10</v>
      </c>
      <c r="N422">
        <v>903</v>
      </c>
      <c r="O422">
        <v>27</v>
      </c>
      <c r="P422">
        <v>5.8</v>
      </c>
      <c r="Q422" t="s">
        <v>80</v>
      </c>
      <c r="R422" t="s">
        <v>81</v>
      </c>
      <c r="S422" t="s">
        <v>82</v>
      </c>
      <c r="T422">
        <v>3</v>
      </c>
      <c r="U422">
        <v>4</v>
      </c>
      <c r="V422" s="6">
        <v>103.41</v>
      </c>
      <c r="W422" s="6">
        <v>958.69</v>
      </c>
      <c r="X422" t="s">
        <v>94</v>
      </c>
      <c r="Y422" s="7">
        <f t="shared" si="42"/>
        <v>1.5594541910331383E-2</v>
      </c>
      <c r="Z422" s="7">
        <f t="shared" si="43"/>
        <v>0.88011695906432752</v>
      </c>
      <c r="AA422">
        <f t="shared" si="44"/>
        <v>98</v>
      </c>
      <c r="AB422" s="8">
        <f t="shared" si="45"/>
        <v>1654.56</v>
      </c>
      <c r="AC422">
        <f t="shared" si="46"/>
        <v>28.5</v>
      </c>
      <c r="AD422" t="str">
        <f t="shared" si="47"/>
        <v>Low</v>
      </c>
      <c r="AE422" t="str">
        <f t="shared" si="48"/>
        <v>No</v>
      </c>
    </row>
    <row r="423" spans="1:31" x14ac:dyDescent="0.35">
      <c r="A423" t="s">
        <v>535</v>
      </c>
      <c r="B423" s="5">
        <v>46223</v>
      </c>
      <c r="C423" t="s">
        <v>503</v>
      </c>
      <c r="D423" t="s">
        <v>20</v>
      </c>
      <c r="E423" t="s">
        <v>78</v>
      </c>
      <c r="F423" t="s">
        <v>30</v>
      </c>
      <c r="G423" t="s">
        <v>90</v>
      </c>
      <c r="H423" t="s">
        <v>39</v>
      </c>
      <c r="I423" t="s">
        <v>46</v>
      </c>
      <c r="J423">
        <v>1271</v>
      </c>
      <c r="K423">
        <v>1293</v>
      </c>
      <c r="L423">
        <v>8</v>
      </c>
      <c r="M423">
        <v>5</v>
      </c>
      <c r="N423">
        <v>1203</v>
      </c>
      <c r="O423">
        <v>53.4</v>
      </c>
      <c r="P423">
        <v>0</v>
      </c>
      <c r="Q423" t="s">
        <v>80</v>
      </c>
      <c r="R423" t="s">
        <v>81</v>
      </c>
      <c r="S423" t="s">
        <v>82</v>
      </c>
      <c r="T423">
        <v>0</v>
      </c>
      <c r="U423">
        <v>3</v>
      </c>
      <c r="V423" s="6">
        <v>446.88</v>
      </c>
      <c r="W423" s="6">
        <v>1828.65</v>
      </c>
      <c r="X423" t="s">
        <v>94</v>
      </c>
      <c r="Y423" s="7">
        <f t="shared" si="42"/>
        <v>6.1871616395978348E-3</v>
      </c>
      <c r="Z423" s="7">
        <f t="shared" si="43"/>
        <v>0.93039443155452439</v>
      </c>
      <c r="AA423">
        <f t="shared" si="44"/>
        <v>-22</v>
      </c>
      <c r="AB423" s="8">
        <f t="shared" si="45"/>
        <v>3575.04</v>
      </c>
      <c r="AC423">
        <f t="shared" si="46"/>
        <v>9.3000000000000007</v>
      </c>
      <c r="AD423" t="str">
        <f t="shared" si="47"/>
        <v>Low</v>
      </c>
      <c r="AE423" t="str">
        <f t="shared" si="48"/>
        <v>No</v>
      </c>
    </row>
    <row r="424" spans="1:31" x14ac:dyDescent="0.35">
      <c r="A424" t="s">
        <v>536</v>
      </c>
      <c r="B424" s="5">
        <v>46223</v>
      </c>
      <c r="C424" t="s">
        <v>503</v>
      </c>
      <c r="D424" t="s">
        <v>22</v>
      </c>
      <c r="E424" t="s">
        <v>93</v>
      </c>
      <c r="F424" t="s">
        <v>31</v>
      </c>
      <c r="G424" t="s">
        <v>85</v>
      </c>
      <c r="H424" t="s">
        <v>36</v>
      </c>
      <c r="I424" t="s">
        <v>45</v>
      </c>
      <c r="J424">
        <v>1462</v>
      </c>
      <c r="K424">
        <v>1397</v>
      </c>
      <c r="L424">
        <v>45</v>
      </c>
      <c r="M424">
        <v>22</v>
      </c>
      <c r="N424">
        <v>1339</v>
      </c>
      <c r="O424">
        <v>36.799999999999997</v>
      </c>
      <c r="P424">
        <v>0.3</v>
      </c>
      <c r="Q424" t="s">
        <v>96</v>
      </c>
      <c r="R424" t="s">
        <v>81</v>
      </c>
      <c r="S424" t="s">
        <v>82</v>
      </c>
      <c r="T424">
        <v>9</v>
      </c>
      <c r="U424">
        <v>6</v>
      </c>
      <c r="V424" s="6">
        <v>129.97999999999999</v>
      </c>
      <c r="W424" s="6">
        <v>2418.37</v>
      </c>
      <c r="X424" t="s">
        <v>110</v>
      </c>
      <c r="Y424" s="7">
        <f t="shared" si="42"/>
        <v>3.2211882605583393E-2</v>
      </c>
      <c r="Z424" s="7">
        <f t="shared" si="43"/>
        <v>0.95848246241947033</v>
      </c>
      <c r="AA424">
        <f t="shared" si="44"/>
        <v>65</v>
      </c>
      <c r="AB424" s="8">
        <f t="shared" si="45"/>
        <v>5849.0999999999995</v>
      </c>
      <c r="AC424">
        <f t="shared" si="46"/>
        <v>44.5</v>
      </c>
      <c r="AD424" t="str">
        <f t="shared" si="47"/>
        <v>Medium</v>
      </c>
      <c r="AE424" t="str">
        <f t="shared" si="48"/>
        <v>No</v>
      </c>
    </row>
    <row r="425" spans="1:31" x14ac:dyDescent="0.35">
      <c r="A425" t="s">
        <v>537</v>
      </c>
      <c r="B425" s="5">
        <v>46223</v>
      </c>
      <c r="C425" t="s">
        <v>503</v>
      </c>
      <c r="D425" t="s">
        <v>20</v>
      </c>
      <c r="E425" t="s">
        <v>78</v>
      </c>
      <c r="F425" t="s">
        <v>27</v>
      </c>
      <c r="G425" t="s">
        <v>79</v>
      </c>
      <c r="H425" t="s">
        <v>34</v>
      </c>
      <c r="I425" t="s">
        <v>42</v>
      </c>
      <c r="J425">
        <v>1426</v>
      </c>
      <c r="K425">
        <v>1375</v>
      </c>
      <c r="L425">
        <v>32</v>
      </c>
      <c r="M425">
        <v>21</v>
      </c>
      <c r="N425">
        <v>1323</v>
      </c>
      <c r="O425">
        <v>29.9</v>
      </c>
      <c r="P425">
        <v>10.5</v>
      </c>
      <c r="Q425" t="s">
        <v>80</v>
      </c>
      <c r="R425" t="s">
        <v>81</v>
      </c>
      <c r="S425" t="s">
        <v>82</v>
      </c>
      <c r="T425">
        <v>1</v>
      </c>
      <c r="U425">
        <v>4</v>
      </c>
      <c r="V425" s="6">
        <v>302.77999999999997</v>
      </c>
      <c r="W425" s="6">
        <v>2549.69</v>
      </c>
      <c r="X425" t="s">
        <v>110</v>
      </c>
      <c r="Y425" s="7">
        <f t="shared" si="42"/>
        <v>2.3272727272727271E-2</v>
      </c>
      <c r="Z425" s="7">
        <f t="shared" si="43"/>
        <v>0.96218181818181814</v>
      </c>
      <c r="AA425">
        <f t="shared" si="44"/>
        <v>51</v>
      </c>
      <c r="AB425" s="8">
        <f t="shared" si="45"/>
        <v>9688.9599999999991</v>
      </c>
      <c r="AC425">
        <f t="shared" si="46"/>
        <v>38.6</v>
      </c>
      <c r="AD425" t="str">
        <f t="shared" si="47"/>
        <v>Low</v>
      </c>
      <c r="AE425" t="str">
        <f t="shared" si="48"/>
        <v>No</v>
      </c>
    </row>
    <row r="426" spans="1:31" x14ac:dyDescent="0.35">
      <c r="A426" t="s">
        <v>538</v>
      </c>
      <c r="B426" s="5">
        <v>46223</v>
      </c>
      <c r="C426" t="s">
        <v>503</v>
      </c>
      <c r="D426" t="s">
        <v>23</v>
      </c>
      <c r="E426" t="s">
        <v>78</v>
      </c>
      <c r="F426" t="s">
        <v>31</v>
      </c>
      <c r="G426" t="s">
        <v>90</v>
      </c>
      <c r="H426" t="s">
        <v>38</v>
      </c>
      <c r="I426" t="s">
        <v>44</v>
      </c>
      <c r="J426">
        <v>800</v>
      </c>
      <c r="K426">
        <v>768</v>
      </c>
      <c r="L426">
        <v>28</v>
      </c>
      <c r="M426">
        <v>17</v>
      </c>
      <c r="N426">
        <v>693</v>
      </c>
      <c r="O426">
        <v>26</v>
      </c>
      <c r="P426">
        <v>8.5</v>
      </c>
      <c r="Q426" t="s">
        <v>96</v>
      </c>
      <c r="R426" t="s">
        <v>81</v>
      </c>
      <c r="S426" t="s">
        <v>82</v>
      </c>
      <c r="T426">
        <v>5</v>
      </c>
      <c r="U426">
        <v>3</v>
      </c>
      <c r="V426" s="6">
        <v>263.88</v>
      </c>
      <c r="W426" s="6">
        <v>2233.41</v>
      </c>
      <c r="X426" t="s">
        <v>94</v>
      </c>
      <c r="Y426" s="7">
        <f t="shared" si="42"/>
        <v>3.6458333333333336E-2</v>
      </c>
      <c r="Z426" s="7">
        <f t="shared" si="43"/>
        <v>0.90234375</v>
      </c>
      <c r="AA426">
        <f t="shared" si="44"/>
        <v>32</v>
      </c>
      <c r="AB426" s="8">
        <f t="shared" si="45"/>
        <v>7388.6399999999994</v>
      </c>
      <c r="AC426">
        <f t="shared" si="46"/>
        <v>61.9</v>
      </c>
      <c r="AD426" t="str">
        <f t="shared" si="47"/>
        <v>Medium</v>
      </c>
      <c r="AE426" t="str">
        <f t="shared" si="48"/>
        <v>No</v>
      </c>
    </row>
    <row r="427" spans="1:31" x14ac:dyDescent="0.35">
      <c r="A427" t="s">
        <v>539</v>
      </c>
      <c r="B427" s="5">
        <v>46223</v>
      </c>
      <c r="C427" t="s">
        <v>503</v>
      </c>
      <c r="D427" t="s">
        <v>22</v>
      </c>
      <c r="E427" t="s">
        <v>93</v>
      </c>
      <c r="F427" t="s">
        <v>32</v>
      </c>
      <c r="G427" t="s">
        <v>90</v>
      </c>
      <c r="H427" t="s">
        <v>36</v>
      </c>
      <c r="I427" t="s">
        <v>46</v>
      </c>
      <c r="J427">
        <v>1353</v>
      </c>
      <c r="K427">
        <v>1354</v>
      </c>
      <c r="L427">
        <v>12</v>
      </c>
      <c r="M427">
        <v>4</v>
      </c>
      <c r="N427">
        <v>1207</v>
      </c>
      <c r="O427">
        <v>24.1</v>
      </c>
      <c r="P427">
        <v>0</v>
      </c>
      <c r="Q427" t="s">
        <v>86</v>
      </c>
      <c r="R427" t="s">
        <v>81</v>
      </c>
      <c r="S427" t="s">
        <v>82</v>
      </c>
      <c r="T427">
        <v>2</v>
      </c>
      <c r="U427">
        <v>4</v>
      </c>
      <c r="V427" s="6">
        <v>112.81</v>
      </c>
      <c r="W427" s="6">
        <v>945.26</v>
      </c>
      <c r="X427" t="s">
        <v>121</v>
      </c>
      <c r="Y427" s="7">
        <f t="shared" si="42"/>
        <v>8.8626292466765146E-3</v>
      </c>
      <c r="Z427" s="7">
        <f t="shared" si="43"/>
        <v>0.89143279172821266</v>
      </c>
      <c r="AA427">
        <f t="shared" si="44"/>
        <v>-1</v>
      </c>
      <c r="AB427" s="8">
        <f t="shared" si="45"/>
        <v>1353.72</v>
      </c>
      <c r="AC427">
        <f t="shared" si="46"/>
        <v>31.7</v>
      </c>
      <c r="AD427" t="str">
        <f t="shared" si="47"/>
        <v>Low</v>
      </c>
      <c r="AE427" t="str">
        <f t="shared" si="48"/>
        <v>Yes</v>
      </c>
    </row>
    <row r="428" spans="1:31" x14ac:dyDescent="0.35">
      <c r="A428" t="s">
        <v>540</v>
      </c>
      <c r="B428" s="5">
        <v>46223</v>
      </c>
      <c r="C428" t="s">
        <v>503</v>
      </c>
      <c r="D428" t="s">
        <v>23</v>
      </c>
      <c r="E428" t="s">
        <v>78</v>
      </c>
      <c r="F428" t="s">
        <v>32</v>
      </c>
      <c r="G428" t="s">
        <v>79</v>
      </c>
      <c r="H428" t="s">
        <v>39</v>
      </c>
      <c r="I428" t="s">
        <v>47</v>
      </c>
      <c r="J428">
        <v>1002</v>
      </c>
      <c r="K428">
        <v>911</v>
      </c>
      <c r="L428">
        <v>9</v>
      </c>
      <c r="M428">
        <v>3</v>
      </c>
      <c r="N428">
        <v>825</v>
      </c>
      <c r="O428">
        <v>60.4</v>
      </c>
      <c r="P428">
        <v>5.2</v>
      </c>
      <c r="Q428" t="s">
        <v>80</v>
      </c>
      <c r="R428" t="s">
        <v>81</v>
      </c>
      <c r="S428" t="s">
        <v>82</v>
      </c>
      <c r="T428">
        <v>3</v>
      </c>
      <c r="U428">
        <v>0</v>
      </c>
      <c r="V428" s="6">
        <v>292.19</v>
      </c>
      <c r="W428" s="6">
        <v>1371.29</v>
      </c>
      <c r="X428" t="s">
        <v>115</v>
      </c>
      <c r="Y428" s="7">
        <f t="shared" si="42"/>
        <v>9.8792535675082324E-3</v>
      </c>
      <c r="Z428" s="7">
        <f t="shared" si="43"/>
        <v>0.9055982436882547</v>
      </c>
      <c r="AA428">
        <f t="shared" si="44"/>
        <v>91</v>
      </c>
      <c r="AB428" s="8">
        <f t="shared" si="45"/>
        <v>2629.71</v>
      </c>
      <c r="AC428">
        <f t="shared" si="46"/>
        <v>20.9</v>
      </c>
      <c r="AD428" t="str">
        <f t="shared" si="47"/>
        <v>Low</v>
      </c>
      <c r="AE428" t="str">
        <f t="shared" si="48"/>
        <v>No</v>
      </c>
    </row>
    <row r="429" spans="1:31" x14ac:dyDescent="0.35">
      <c r="A429" t="s">
        <v>541</v>
      </c>
      <c r="B429" s="5">
        <v>46223</v>
      </c>
      <c r="C429" t="s">
        <v>503</v>
      </c>
      <c r="D429" t="s">
        <v>25</v>
      </c>
      <c r="E429" t="s">
        <v>89</v>
      </c>
      <c r="F429" t="s">
        <v>27</v>
      </c>
      <c r="G429" t="s">
        <v>85</v>
      </c>
      <c r="H429" t="s">
        <v>34</v>
      </c>
      <c r="I429" t="s">
        <v>46</v>
      </c>
      <c r="J429">
        <v>1419</v>
      </c>
      <c r="K429">
        <v>1342</v>
      </c>
      <c r="L429">
        <v>10</v>
      </c>
      <c r="M429">
        <v>3</v>
      </c>
      <c r="N429">
        <v>1276</v>
      </c>
      <c r="O429">
        <v>44.6</v>
      </c>
      <c r="P429">
        <v>13.2</v>
      </c>
      <c r="Q429" t="s">
        <v>80</v>
      </c>
      <c r="R429" t="s">
        <v>81</v>
      </c>
      <c r="S429" t="s">
        <v>138</v>
      </c>
      <c r="T429">
        <v>0</v>
      </c>
      <c r="U429">
        <v>1</v>
      </c>
      <c r="V429" s="6">
        <v>68.17</v>
      </c>
      <c r="W429" s="6">
        <v>512.41999999999996</v>
      </c>
      <c r="X429" t="s">
        <v>94</v>
      </c>
      <c r="Y429" s="7">
        <f t="shared" si="42"/>
        <v>7.4515648286140089E-3</v>
      </c>
      <c r="Z429" s="7">
        <f t="shared" si="43"/>
        <v>0.95081967213114749</v>
      </c>
      <c r="AA429">
        <f t="shared" si="44"/>
        <v>77</v>
      </c>
      <c r="AB429" s="8">
        <f t="shared" si="45"/>
        <v>681.7</v>
      </c>
      <c r="AC429">
        <f t="shared" si="46"/>
        <v>38.799999999999997</v>
      </c>
      <c r="AD429" t="str">
        <f t="shared" si="47"/>
        <v>Low</v>
      </c>
      <c r="AE429" t="str">
        <f t="shared" si="48"/>
        <v>Yes</v>
      </c>
    </row>
    <row r="430" spans="1:31" x14ac:dyDescent="0.35">
      <c r="A430" t="s">
        <v>542</v>
      </c>
      <c r="B430" s="5">
        <v>46223</v>
      </c>
      <c r="C430" t="s">
        <v>503</v>
      </c>
      <c r="D430" t="s">
        <v>24</v>
      </c>
      <c r="E430" t="s">
        <v>78</v>
      </c>
      <c r="F430" t="s">
        <v>29</v>
      </c>
      <c r="G430" t="s">
        <v>79</v>
      </c>
      <c r="H430" t="s">
        <v>36</v>
      </c>
      <c r="I430" t="s">
        <v>45</v>
      </c>
      <c r="J430">
        <v>1305</v>
      </c>
      <c r="K430">
        <v>1315</v>
      </c>
      <c r="L430">
        <v>65</v>
      </c>
      <c r="M430">
        <v>41</v>
      </c>
      <c r="N430">
        <v>1293</v>
      </c>
      <c r="O430">
        <v>50.4</v>
      </c>
      <c r="P430">
        <v>10.5</v>
      </c>
      <c r="Q430" t="s">
        <v>80</v>
      </c>
      <c r="R430" t="s">
        <v>81</v>
      </c>
      <c r="S430" t="s">
        <v>138</v>
      </c>
      <c r="T430">
        <v>13</v>
      </c>
      <c r="U430">
        <v>9</v>
      </c>
      <c r="V430" s="6">
        <v>219.33</v>
      </c>
      <c r="W430" s="6">
        <v>10540.19</v>
      </c>
      <c r="X430" t="s">
        <v>94</v>
      </c>
      <c r="Y430" s="7">
        <f t="shared" si="42"/>
        <v>4.9429657794676805E-2</v>
      </c>
      <c r="Z430" s="7">
        <f t="shared" si="43"/>
        <v>0.9832699619771863</v>
      </c>
      <c r="AA430">
        <f t="shared" si="44"/>
        <v>-10</v>
      </c>
      <c r="AB430" s="8">
        <f t="shared" si="45"/>
        <v>14256.45</v>
      </c>
      <c r="AC430">
        <f t="shared" si="46"/>
        <v>75.8</v>
      </c>
      <c r="AD430" t="str">
        <f t="shared" si="47"/>
        <v>High</v>
      </c>
      <c r="AE430" t="str">
        <f t="shared" si="48"/>
        <v>Yes</v>
      </c>
    </row>
    <row r="431" spans="1:31" x14ac:dyDescent="0.35">
      <c r="A431" t="s">
        <v>543</v>
      </c>
      <c r="B431" s="5">
        <v>46223</v>
      </c>
      <c r="C431" t="s">
        <v>503</v>
      </c>
      <c r="D431" t="s">
        <v>23</v>
      </c>
      <c r="E431" t="s">
        <v>78</v>
      </c>
      <c r="F431" t="s">
        <v>29</v>
      </c>
      <c r="G431" t="s">
        <v>85</v>
      </c>
      <c r="H431" t="s">
        <v>34</v>
      </c>
      <c r="I431" t="s">
        <v>47</v>
      </c>
      <c r="J431">
        <v>822</v>
      </c>
      <c r="K431">
        <v>748</v>
      </c>
      <c r="L431">
        <v>6</v>
      </c>
      <c r="M431">
        <v>5</v>
      </c>
      <c r="N431">
        <v>724</v>
      </c>
      <c r="O431">
        <v>65</v>
      </c>
      <c r="P431">
        <v>10.6</v>
      </c>
      <c r="Q431" t="s">
        <v>80</v>
      </c>
      <c r="R431" t="s">
        <v>81</v>
      </c>
      <c r="S431" t="s">
        <v>82</v>
      </c>
      <c r="T431">
        <v>2</v>
      </c>
      <c r="U431">
        <v>0</v>
      </c>
      <c r="V431" s="6">
        <v>319.77</v>
      </c>
      <c r="W431" s="6">
        <v>936.97</v>
      </c>
      <c r="X431" t="s">
        <v>94</v>
      </c>
      <c r="Y431" s="7">
        <f t="shared" si="42"/>
        <v>8.0213903743315516E-3</v>
      </c>
      <c r="Z431" s="7">
        <f t="shared" si="43"/>
        <v>0.96791443850267378</v>
      </c>
      <c r="AA431">
        <f t="shared" si="44"/>
        <v>74</v>
      </c>
      <c r="AB431" s="8">
        <f t="shared" si="45"/>
        <v>1918.62</v>
      </c>
      <c r="AC431">
        <f t="shared" si="46"/>
        <v>23.2</v>
      </c>
      <c r="AD431" t="str">
        <f t="shared" si="47"/>
        <v>Low</v>
      </c>
      <c r="AE431" t="str">
        <f t="shared" si="48"/>
        <v>No</v>
      </c>
    </row>
    <row r="432" spans="1:31" x14ac:dyDescent="0.35">
      <c r="A432" t="s">
        <v>544</v>
      </c>
      <c r="B432" s="5">
        <v>46223</v>
      </c>
      <c r="C432" t="s">
        <v>503</v>
      </c>
      <c r="D432" t="s">
        <v>23</v>
      </c>
      <c r="E432" t="s">
        <v>78</v>
      </c>
      <c r="F432" t="s">
        <v>30</v>
      </c>
      <c r="G432" t="s">
        <v>90</v>
      </c>
      <c r="H432" t="s">
        <v>36</v>
      </c>
      <c r="I432" t="s">
        <v>42</v>
      </c>
      <c r="J432">
        <v>1265</v>
      </c>
      <c r="K432">
        <v>1245</v>
      </c>
      <c r="L432">
        <v>36</v>
      </c>
      <c r="M432">
        <v>19</v>
      </c>
      <c r="N432">
        <v>1180</v>
      </c>
      <c r="O432">
        <v>60.7</v>
      </c>
      <c r="P432">
        <v>15.9</v>
      </c>
      <c r="Q432" t="s">
        <v>80</v>
      </c>
      <c r="R432" t="s">
        <v>81</v>
      </c>
      <c r="S432" t="s">
        <v>82</v>
      </c>
      <c r="T432">
        <v>6</v>
      </c>
      <c r="U432">
        <v>5</v>
      </c>
      <c r="V432" s="6">
        <v>415.82</v>
      </c>
      <c r="W432" s="6">
        <v>8963.01</v>
      </c>
      <c r="X432" t="s">
        <v>94</v>
      </c>
      <c r="Y432" s="7">
        <f t="shared" si="42"/>
        <v>2.891566265060241E-2</v>
      </c>
      <c r="Z432" s="7">
        <f t="shared" si="43"/>
        <v>0.94779116465863456</v>
      </c>
      <c r="AA432">
        <f t="shared" si="44"/>
        <v>20</v>
      </c>
      <c r="AB432" s="8">
        <f t="shared" si="45"/>
        <v>14969.52</v>
      </c>
      <c r="AC432">
        <f t="shared" si="46"/>
        <v>51.9</v>
      </c>
      <c r="AD432" t="str">
        <f t="shared" si="47"/>
        <v>Medium</v>
      </c>
      <c r="AE432" t="str">
        <f t="shared" si="48"/>
        <v>No</v>
      </c>
    </row>
    <row r="433" spans="1:31" x14ac:dyDescent="0.35">
      <c r="A433" t="s">
        <v>545</v>
      </c>
      <c r="B433" s="5">
        <v>46223</v>
      </c>
      <c r="C433" t="s">
        <v>503</v>
      </c>
      <c r="D433" t="s">
        <v>22</v>
      </c>
      <c r="E433" t="s">
        <v>93</v>
      </c>
      <c r="F433" t="s">
        <v>29</v>
      </c>
      <c r="G433" t="s">
        <v>85</v>
      </c>
      <c r="H433" t="s">
        <v>37</v>
      </c>
      <c r="I433" t="s">
        <v>45</v>
      </c>
      <c r="J433">
        <v>935</v>
      </c>
      <c r="K433">
        <v>900</v>
      </c>
      <c r="L433">
        <v>25</v>
      </c>
      <c r="M433">
        <v>11</v>
      </c>
      <c r="N433">
        <v>865</v>
      </c>
      <c r="O433">
        <v>19.8</v>
      </c>
      <c r="P433">
        <v>13.5</v>
      </c>
      <c r="Q433" t="s">
        <v>80</v>
      </c>
      <c r="R433" t="s">
        <v>81</v>
      </c>
      <c r="S433" t="s">
        <v>82</v>
      </c>
      <c r="T433">
        <v>1</v>
      </c>
      <c r="U433">
        <v>1</v>
      </c>
      <c r="V433" s="6">
        <v>372.04</v>
      </c>
      <c r="W433" s="6">
        <v>3665.64</v>
      </c>
      <c r="X433" t="s">
        <v>94</v>
      </c>
      <c r="Y433" s="7">
        <f t="shared" si="42"/>
        <v>2.7777777777777776E-2</v>
      </c>
      <c r="Z433" s="7">
        <f t="shared" si="43"/>
        <v>0.96111111111111114</v>
      </c>
      <c r="AA433">
        <f t="shared" si="44"/>
        <v>35</v>
      </c>
      <c r="AB433" s="8">
        <f t="shared" si="45"/>
        <v>9301</v>
      </c>
      <c r="AC433">
        <f t="shared" si="46"/>
        <v>47.1</v>
      </c>
      <c r="AD433" t="str">
        <f t="shared" si="47"/>
        <v>Medium</v>
      </c>
      <c r="AE433" t="str">
        <f t="shared" si="48"/>
        <v>No</v>
      </c>
    </row>
    <row r="434" spans="1:31" x14ac:dyDescent="0.35">
      <c r="A434" t="s">
        <v>546</v>
      </c>
      <c r="B434" s="5">
        <v>46223</v>
      </c>
      <c r="C434" t="s">
        <v>503</v>
      </c>
      <c r="D434" t="s">
        <v>20</v>
      </c>
      <c r="E434" t="s">
        <v>78</v>
      </c>
      <c r="F434" t="s">
        <v>32</v>
      </c>
      <c r="G434" t="s">
        <v>85</v>
      </c>
      <c r="H434" t="s">
        <v>36</v>
      </c>
      <c r="I434" t="s">
        <v>44</v>
      </c>
      <c r="J434">
        <v>1100</v>
      </c>
      <c r="K434">
        <v>1029</v>
      </c>
      <c r="L434">
        <v>9</v>
      </c>
      <c r="M434">
        <v>5</v>
      </c>
      <c r="N434">
        <v>920</v>
      </c>
      <c r="O434">
        <v>54.3</v>
      </c>
      <c r="P434">
        <v>0</v>
      </c>
      <c r="Q434" t="s">
        <v>80</v>
      </c>
      <c r="R434" t="s">
        <v>81</v>
      </c>
      <c r="S434" t="s">
        <v>82</v>
      </c>
      <c r="T434">
        <v>0</v>
      </c>
      <c r="U434">
        <v>0</v>
      </c>
      <c r="V434" s="6">
        <v>155.82</v>
      </c>
      <c r="W434" s="6">
        <v>388.7</v>
      </c>
      <c r="X434" t="s">
        <v>94</v>
      </c>
      <c r="Y434" s="7">
        <f t="shared" si="42"/>
        <v>8.7463556851311956E-3</v>
      </c>
      <c r="Z434" s="7">
        <f t="shared" si="43"/>
        <v>0.89407191448007772</v>
      </c>
      <c r="AA434">
        <f t="shared" si="44"/>
        <v>71</v>
      </c>
      <c r="AB434" s="8">
        <f t="shared" si="45"/>
        <v>1402.3799999999999</v>
      </c>
      <c r="AC434">
        <f t="shared" si="46"/>
        <v>13.5</v>
      </c>
      <c r="AD434" t="str">
        <f t="shared" si="47"/>
        <v>Low</v>
      </c>
      <c r="AE434" t="str">
        <f t="shared" si="48"/>
        <v>No</v>
      </c>
    </row>
    <row r="435" spans="1:31" x14ac:dyDescent="0.35">
      <c r="A435" t="s">
        <v>547</v>
      </c>
      <c r="B435" s="5">
        <v>46223</v>
      </c>
      <c r="C435" t="s">
        <v>503</v>
      </c>
      <c r="D435" t="s">
        <v>20</v>
      </c>
      <c r="E435" t="s">
        <v>78</v>
      </c>
      <c r="F435" t="s">
        <v>30</v>
      </c>
      <c r="G435" t="s">
        <v>90</v>
      </c>
      <c r="H435" t="s">
        <v>37</v>
      </c>
      <c r="I435" t="s">
        <v>47</v>
      </c>
      <c r="J435">
        <v>1424</v>
      </c>
      <c r="K435">
        <v>1351</v>
      </c>
      <c r="L435">
        <v>35</v>
      </c>
      <c r="M435">
        <v>14</v>
      </c>
      <c r="N435">
        <v>1236</v>
      </c>
      <c r="O435">
        <v>64.3</v>
      </c>
      <c r="P435">
        <v>11.8</v>
      </c>
      <c r="Q435" t="s">
        <v>96</v>
      </c>
      <c r="R435" t="s">
        <v>81</v>
      </c>
      <c r="S435" t="s">
        <v>82</v>
      </c>
      <c r="T435">
        <v>3</v>
      </c>
      <c r="U435">
        <v>4</v>
      </c>
      <c r="V435" s="6">
        <v>125.86</v>
      </c>
      <c r="W435" s="6">
        <v>1857.54</v>
      </c>
      <c r="X435" t="s">
        <v>87</v>
      </c>
      <c r="Y435" s="7">
        <f t="shared" si="42"/>
        <v>2.5906735751295335E-2</v>
      </c>
      <c r="Z435" s="7">
        <f t="shared" si="43"/>
        <v>0.91487786824574391</v>
      </c>
      <c r="AA435">
        <f t="shared" si="44"/>
        <v>73</v>
      </c>
      <c r="AB435" s="8">
        <f t="shared" si="45"/>
        <v>4405.1000000000004</v>
      </c>
      <c r="AC435">
        <f t="shared" si="46"/>
        <v>55.1</v>
      </c>
      <c r="AD435" t="str">
        <f t="shared" si="47"/>
        <v>Medium</v>
      </c>
      <c r="AE435" t="str">
        <f t="shared" si="48"/>
        <v>No</v>
      </c>
    </row>
    <row r="436" spans="1:31" x14ac:dyDescent="0.35">
      <c r="A436" t="s">
        <v>548</v>
      </c>
      <c r="B436" s="5">
        <v>46223</v>
      </c>
      <c r="C436" t="s">
        <v>503</v>
      </c>
      <c r="D436" t="s">
        <v>24</v>
      </c>
      <c r="E436" t="s">
        <v>78</v>
      </c>
      <c r="F436" t="s">
        <v>32</v>
      </c>
      <c r="G436" t="s">
        <v>90</v>
      </c>
      <c r="H436" t="s">
        <v>39</v>
      </c>
      <c r="I436" t="s">
        <v>46</v>
      </c>
      <c r="J436">
        <v>1345</v>
      </c>
      <c r="K436">
        <v>1315</v>
      </c>
      <c r="L436">
        <v>36</v>
      </c>
      <c r="M436">
        <v>23</v>
      </c>
      <c r="N436">
        <v>1310</v>
      </c>
      <c r="O436">
        <v>20.5</v>
      </c>
      <c r="P436">
        <v>21.2</v>
      </c>
      <c r="Q436" t="s">
        <v>80</v>
      </c>
      <c r="R436" t="s">
        <v>81</v>
      </c>
      <c r="S436" t="s">
        <v>138</v>
      </c>
      <c r="T436">
        <v>7</v>
      </c>
      <c r="U436">
        <v>4</v>
      </c>
      <c r="V436" s="6">
        <v>146.88999999999999</v>
      </c>
      <c r="W436" s="6">
        <v>2089.36</v>
      </c>
      <c r="X436" t="s">
        <v>94</v>
      </c>
      <c r="Y436" s="7">
        <f t="shared" si="42"/>
        <v>2.7376425855513309E-2</v>
      </c>
      <c r="Z436" s="7">
        <f t="shared" si="43"/>
        <v>0.99619771863117867</v>
      </c>
      <c r="AA436">
        <f t="shared" si="44"/>
        <v>30</v>
      </c>
      <c r="AB436" s="8">
        <f t="shared" si="45"/>
        <v>5288.0399999999991</v>
      </c>
      <c r="AC436">
        <f t="shared" si="46"/>
        <v>67.099999999999994</v>
      </c>
      <c r="AD436" t="str">
        <f t="shared" si="47"/>
        <v>High</v>
      </c>
      <c r="AE436" t="str">
        <f t="shared" si="48"/>
        <v>Yes</v>
      </c>
    </row>
    <row r="437" spans="1:31" x14ac:dyDescent="0.35">
      <c r="A437" t="s">
        <v>549</v>
      </c>
      <c r="B437" s="5">
        <v>46230</v>
      </c>
      <c r="C437" t="s">
        <v>503</v>
      </c>
      <c r="D437" t="s">
        <v>20</v>
      </c>
      <c r="E437" t="s">
        <v>78</v>
      </c>
      <c r="F437" t="s">
        <v>32</v>
      </c>
      <c r="G437" t="s">
        <v>85</v>
      </c>
      <c r="H437" t="s">
        <v>34</v>
      </c>
      <c r="I437" t="s">
        <v>42</v>
      </c>
      <c r="J437">
        <v>1251</v>
      </c>
      <c r="K437">
        <v>1158</v>
      </c>
      <c r="L437">
        <v>22</v>
      </c>
      <c r="M437">
        <v>8</v>
      </c>
      <c r="N437">
        <v>1111</v>
      </c>
      <c r="O437">
        <v>43.6</v>
      </c>
      <c r="P437">
        <v>15.1</v>
      </c>
      <c r="Q437" t="s">
        <v>80</v>
      </c>
      <c r="R437" t="s">
        <v>81</v>
      </c>
      <c r="S437" t="s">
        <v>82</v>
      </c>
      <c r="T437">
        <v>0</v>
      </c>
      <c r="U437">
        <v>0</v>
      </c>
      <c r="V437" s="6">
        <v>239.21</v>
      </c>
      <c r="W437" s="6">
        <v>2959.37</v>
      </c>
      <c r="X437" t="s">
        <v>151</v>
      </c>
      <c r="Y437" s="7">
        <f t="shared" si="42"/>
        <v>1.8998272884283247E-2</v>
      </c>
      <c r="Z437" s="7">
        <f t="shared" si="43"/>
        <v>0.95941278065630398</v>
      </c>
      <c r="AA437">
        <f t="shared" si="44"/>
        <v>93</v>
      </c>
      <c r="AB437" s="8">
        <f t="shared" si="45"/>
        <v>5262.62</v>
      </c>
      <c r="AC437">
        <f t="shared" si="46"/>
        <v>40.5</v>
      </c>
      <c r="AD437" t="str">
        <f t="shared" si="47"/>
        <v>Medium</v>
      </c>
      <c r="AE437" t="str">
        <f t="shared" si="48"/>
        <v>No</v>
      </c>
    </row>
    <row r="438" spans="1:31" x14ac:dyDescent="0.35">
      <c r="A438" t="s">
        <v>550</v>
      </c>
      <c r="B438" s="5">
        <v>46230</v>
      </c>
      <c r="C438" t="s">
        <v>503</v>
      </c>
      <c r="D438" t="s">
        <v>25</v>
      </c>
      <c r="E438" t="s">
        <v>89</v>
      </c>
      <c r="F438" t="s">
        <v>31</v>
      </c>
      <c r="G438" t="s">
        <v>85</v>
      </c>
      <c r="H438" t="s">
        <v>39</v>
      </c>
      <c r="I438" t="s">
        <v>44</v>
      </c>
      <c r="J438">
        <v>1312</v>
      </c>
      <c r="K438">
        <v>1170</v>
      </c>
      <c r="L438">
        <v>15</v>
      </c>
      <c r="M438">
        <v>8</v>
      </c>
      <c r="N438">
        <v>1081</v>
      </c>
      <c r="O438">
        <v>64.900000000000006</v>
      </c>
      <c r="P438">
        <v>6.9</v>
      </c>
      <c r="Q438" t="s">
        <v>80</v>
      </c>
      <c r="R438" t="s">
        <v>81</v>
      </c>
      <c r="S438" t="s">
        <v>138</v>
      </c>
      <c r="T438">
        <v>5</v>
      </c>
      <c r="U438">
        <v>2</v>
      </c>
      <c r="V438" s="6">
        <v>442.06</v>
      </c>
      <c r="W438" s="6">
        <v>3057.01</v>
      </c>
      <c r="X438" t="s">
        <v>94</v>
      </c>
      <c r="Y438" s="7">
        <f t="shared" si="42"/>
        <v>1.282051282051282E-2</v>
      </c>
      <c r="Z438" s="7">
        <f t="shared" si="43"/>
        <v>0.92393162393162398</v>
      </c>
      <c r="AA438">
        <f t="shared" si="44"/>
        <v>142</v>
      </c>
      <c r="AB438" s="8">
        <f t="shared" si="45"/>
        <v>6630.9</v>
      </c>
      <c r="AC438">
        <f t="shared" si="46"/>
        <v>37.200000000000003</v>
      </c>
      <c r="AD438" t="str">
        <f t="shared" si="47"/>
        <v>Low</v>
      </c>
      <c r="AE438" t="str">
        <f t="shared" si="48"/>
        <v>Yes</v>
      </c>
    </row>
    <row r="439" spans="1:31" x14ac:dyDescent="0.35">
      <c r="A439" t="s">
        <v>551</v>
      </c>
      <c r="B439" s="5">
        <v>46230</v>
      </c>
      <c r="C439" t="s">
        <v>503</v>
      </c>
      <c r="D439" t="s">
        <v>23</v>
      </c>
      <c r="E439" t="s">
        <v>78</v>
      </c>
      <c r="F439" t="s">
        <v>30</v>
      </c>
      <c r="G439" t="s">
        <v>90</v>
      </c>
      <c r="H439" t="s">
        <v>40</v>
      </c>
      <c r="I439" t="s">
        <v>42</v>
      </c>
      <c r="J439">
        <v>910</v>
      </c>
      <c r="K439">
        <v>854</v>
      </c>
      <c r="L439">
        <v>26</v>
      </c>
      <c r="M439">
        <v>11</v>
      </c>
      <c r="N439">
        <v>797</v>
      </c>
      <c r="O439">
        <v>38.5</v>
      </c>
      <c r="P439">
        <v>7.6</v>
      </c>
      <c r="Q439" t="s">
        <v>86</v>
      </c>
      <c r="R439" t="s">
        <v>81</v>
      </c>
      <c r="S439" t="s">
        <v>82</v>
      </c>
      <c r="T439">
        <v>4</v>
      </c>
      <c r="U439">
        <v>4</v>
      </c>
      <c r="V439" s="6">
        <v>151.69</v>
      </c>
      <c r="W439" s="6">
        <v>1582.18</v>
      </c>
      <c r="X439" t="s">
        <v>94</v>
      </c>
      <c r="Y439" s="7">
        <f t="shared" si="42"/>
        <v>3.0444964871194378E-2</v>
      </c>
      <c r="Z439" s="7">
        <f t="shared" si="43"/>
        <v>0.93325526932084313</v>
      </c>
      <c r="AA439">
        <f t="shared" si="44"/>
        <v>56</v>
      </c>
      <c r="AB439" s="8">
        <f t="shared" si="45"/>
        <v>3943.94</v>
      </c>
      <c r="AC439">
        <f t="shared" si="46"/>
        <v>61.3</v>
      </c>
      <c r="AD439" t="str">
        <f t="shared" si="47"/>
        <v>Medium</v>
      </c>
      <c r="AE439" t="str">
        <f t="shared" si="48"/>
        <v>Yes</v>
      </c>
    </row>
    <row r="440" spans="1:31" x14ac:dyDescent="0.35">
      <c r="A440" t="s">
        <v>552</v>
      </c>
      <c r="B440" s="5">
        <v>46230</v>
      </c>
      <c r="C440" t="s">
        <v>503</v>
      </c>
      <c r="D440" t="s">
        <v>20</v>
      </c>
      <c r="E440" t="s">
        <v>78</v>
      </c>
      <c r="F440" t="s">
        <v>27</v>
      </c>
      <c r="G440" t="s">
        <v>85</v>
      </c>
      <c r="H440" t="s">
        <v>39</v>
      </c>
      <c r="I440" t="s">
        <v>42</v>
      </c>
      <c r="J440">
        <v>1213</v>
      </c>
      <c r="K440">
        <v>1180</v>
      </c>
      <c r="L440">
        <v>21</v>
      </c>
      <c r="M440">
        <v>13</v>
      </c>
      <c r="N440">
        <v>1158</v>
      </c>
      <c r="O440">
        <v>74.900000000000006</v>
      </c>
      <c r="P440">
        <v>14.8</v>
      </c>
      <c r="Q440" t="s">
        <v>80</v>
      </c>
      <c r="R440" t="s">
        <v>81</v>
      </c>
      <c r="S440" t="s">
        <v>82</v>
      </c>
      <c r="T440">
        <v>1</v>
      </c>
      <c r="U440">
        <v>4</v>
      </c>
      <c r="V440" s="6">
        <v>260.27</v>
      </c>
      <c r="W440" s="6">
        <v>1700.7</v>
      </c>
      <c r="X440" t="s">
        <v>151</v>
      </c>
      <c r="Y440" s="7">
        <f t="shared" si="42"/>
        <v>1.7796610169491526E-2</v>
      </c>
      <c r="Z440" s="7">
        <f t="shared" si="43"/>
        <v>0.98135593220338979</v>
      </c>
      <c r="AA440">
        <f t="shared" si="44"/>
        <v>33</v>
      </c>
      <c r="AB440" s="8">
        <f t="shared" si="45"/>
        <v>5465.67</v>
      </c>
      <c r="AC440">
        <f t="shared" si="46"/>
        <v>37.9</v>
      </c>
      <c r="AD440" t="str">
        <f t="shared" si="47"/>
        <v>Low</v>
      </c>
      <c r="AE440" t="str">
        <f t="shared" si="48"/>
        <v>No</v>
      </c>
    </row>
    <row r="441" spans="1:31" x14ac:dyDescent="0.35">
      <c r="A441" t="s">
        <v>553</v>
      </c>
      <c r="B441" s="5">
        <v>46230</v>
      </c>
      <c r="C441" t="s">
        <v>503</v>
      </c>
      <c r="D441" t="s">
        <v>22</v>
      </c>
      <c r="E441" t="s">
        <v>93</v>
      </c>
      <c r="F441" t="s">
        <v>27</v>
      </c>
      <c r="G441" t="s">
        <v>85</v>
      </c>
      <c r="H441" t="s">
        <v>40</v>
      </c>
      <c r="I441" t="s">
        <v>42</v>
      </c>
      <c r="J441">
        <v>938</v>
      </c>
      <c r="K441">
        <v>843</v>
      </c>
      <c r="L441">
        <v>24</v>
      </c>
      <c r="M441">
        <v>16</v>
      </c>
      <c r="N441">
        <v>762</v>
      </c>
      <c r="O441">
        <v>23.9</v>
      </c>
      <c r="P441">
        <v>8</v>
      </c>
      <c r="Q441" t="s">
        <v>80</v>
      </c>
      <c r="R441" t="s">
        <v>81</v>
      </c>
      <c r="S441" t="s">
        <v>82</v>
      </c>
      <c r="T441">
        <v>3</v>
      </c>
      <c r="U441">
        <v>0</v>
      </c>
      <c r="V441" s="6">
        <v>190.72</v>
      </c>
      <c r="W441" s="6">
        <v>2843.33</v>
      </c>
      <c r="X441" t="s">
        <v>121</v>
      </c>
      <c r="Y441" s="7">
        <f t="shared" si="42"/>
        <v>2.8469750889679714E-2</v>
      </c>
      <c r="Z441" s="7">
        <f t="shared" si="43"/>
        <v>0.90391459074733094</v>
      </c>
      <c r="AA441">
        <f t="shared" si="44"/>
        <v>95</v>
      </c>
      <c r="AB441" s="8">
        <f t="shared" si="45"/>
        <v>4577.28</v>
      </c>
      <c r="AC441">
        <f t="shared" si="46"/>
        <v>43.2</v>
      </c>
      <c r="AD441" t="str">
        <f t="shared" si="47"/>
        <v>Medium</v>
      </c>
      <c r="AE441" t="str">
        <f t="shared" si="48"/>
        <v>No</v>
      </c>
    </row>
    <row r="442" spans="1:31" x14ac:dyDescent="0.35">
      <c r="A442" t="s">
        <v>554</v>
      </c>
      <c r="B442" s="5">
        <v>46230</v>
      </c>
      <c r="C442" t="s">
        <v>503</v>
      </c>
      <c r="D442" t="s">
        <v>25</v>
      </c>
      <c r="E442" t="s">
        <v>89</v>
      </c>
      <c r="F442" t="s">
        <v>31</v>
      </c>
      <c r="G442" t="s">
        <v>90</v>
      </c>
      <c r="H442" t="s">
        <v>40</v>
      </c>
      <c r="I442" t="s">
        <v>46</v>
      </c>
      <c r="J442">
        <v>865</v>
      </c>
      <c r="K442">
        <v>759</v>
      </c>
      <c r="L442">
        <v>23</v>
      </c>
      <c r="M442">
        <v>10</v>
      </c>
      <c r="N442">
        <v>684</v>
      </c>
      <c r="O442">
        <v>23.8</v>
      </c>
      <c r="P442">
        <v>3.1</v>
      </c>
      <c r="Q442" t="s">
        <v>80</v>
      </c>
      <c r="R442" t="s">
        <v>81</v>
      </c>
      <c r="S442" t="s">
        <v>82</v>
      </c>
      <c r="T442">
        <v>0</v>
      </c>
      <c r="U442">
        <v>1</v>
      </c>
      <c r="V442" s="6">
        <v>323.99</v>
      </c>
      <c r="W442" s="6">
        <v>2843.71</v>
      </c>
      <c r="X442" t="s">
        <v>94</v>
      </c>
      <c r="Y442" s="7">
        <f t="shared" si="42"/>
        <v>3.0303030303030304E-2</v>
      </c>
      <c r="Z442" s="7">
        <f t="shared" si="43"/>
        <v>0.90118577075098816</v>
      </c>
      <c r="AA442">
        <f t="shared" si="44"/>
        <v>106</v>
      </c>
      <c r="AB442" s="8">
        <f t="shared" si="45"/>
        <v>7451.77</v>
      </c>
      <c r="AC442">
        <f t="shared" si="46"/>
        <v>38.799999999999997</v>
      </c>
      <c r="AD442" t="str">
        <f t="shared" si="47"/>
        <v>Low</v>
      </c>
      <c r="AE442" t="str">
        <f t="shared" si="48"/>
        <v>No</v>
      </c>
    </row>
    <row r="443" spans="1:31" x14ac:dyDescent="0.35">
      <c r="A443" t="s">
        <v>555</v>
      </c>
      <c r="B443" s="5">
        <v>46230</v>
      </c>
      <c r="C443" t="s">
        <v>503</v>
      </c>
      <c r="D443" t="s">
        <v>22</v>
      </c>
      <c r="E443" t="s">
        <v>93</v>
      </c>
      <c r="F443" t="s">
        <v>32</v>
      </c>
      <c r="G443" t="s">
        <v>85</v>
      </c>
      <c r="H443" t="s">
        <v>36</v>
      </c>
      <c r="I443" t="s">
        <v>46</v>
      </c>
      <c r="J443">
        <v>845</v>
      </c>
      <c r="K443">
        <v>811</v>
      </c>
      <c r="L443">
        <v>25</v>
      </c>
      <c r="M443">
        <v>17</v>
      </c>
      <c r="N443">
        <v>768</v>
      </c>
      <c r="O443">
        <v>66.7</v>
      </c>
      <c r="P443">
        <v>19.7</v>
      </c>
      <c r="Q443" t="s">
        <v>80</v>
      </c>
      <c r="R443" t="s">
        <v>81</v>
      </c>
      <c r="S443" t="s">
        <v>82</v>
      </c>
      <c r="T443">
        <v>9</v>
      </c>
      <c r="U443">
        <v>2</v>
      </c>
      <c r="V443" s="6">
        <v>397.79</v>
      </c>
      <c r="W443" s="6">
        <v>2991.56</v>
      </c>
      <c r="X443" t="s">
        <v>151</v>
      </c>
      <c r="Y443" s="7">
        <f t="shared" si="42"/>
        <v>3.0826140567200986E-2</v>
      </c>
      <c r="Z443" s="7">
        <f t="shared" si="43"/>
        <v>0.94697903822441432</v>
      </c>
      <c r="AA443">
        <f t="shared" si="44"/>
        <v>34</v>
      </c>
      <c r="AB443" s="8">
        <f t="shared" si="45"/>
        <v>9944.75</v>
      </c>
      <c r="AC443">
        <f t="shared" si="46"/>
        <v>58.8</v>
      </c>
      <c r="AD443" t="str">
        <f t="shared" si="47"/>
        <v>Medium</v>
      </c>
      <c r="AE443" t="str">
        <f t="shared" si="48"/>
        <v>No</v>
      </c>
    </row>
    <row r="444" spans="1:31" x14ac:dyDescent="0.35">
      <c r="A444" t="s">
        <v>556</v>
      </c>
      <c r="B444" s="5">
        <v>46230</v>
      </c>
      <c r="C444" t="s">
        <v>503</v>
      </c>
      <c r="D444" t="s">
        <v>22</v>
      </c>
      <c r="E444" t="s">
        <v>93</v>
      </c>
      <c r="F444" t="s">
        <v>27</v>
      </c>
      <c r="G444" t="s">
        <v>90</v>
      </c>
      <c r="H444" t="s">
        <v>39</v>
      </c>
      <c r="I444" t="s">
        <v>44</v>
      </c>
      <c r="J444">
        <v>1167</v>
      </c>
      <c r="K444">
        <v>1114</v>
      </c>
      <c r="L444">
        <v>29</v>
      </c>
      <c r="M444">
        <v>19</v>
      </c>
      <c r="N444">
        <v>1088</v>
      </c>
      <c r="O444">
        <v>53.1</v>
      </c>
      <c r="P444">
        <v>15.1</v>
      </c>
      <c r="Q444" t="s">
        <v>80</v>
      </c>
      <c r="R444" t="s">
        <v>81</v>
      </c>
      <c r="S444" t="s">
        <v>82</v>
      </c>
      <c r="T444">
        <v>8</v>
      </c>
      <c r="U444">
        <v>3</v>
      </c>
      <c r="V444" s="6">
        <v>212.58</v>
      </c>
      <c r="W444" s="6">
        <v>2593.29</v>
      </c>
      <c r="X444" t="s">
        <v>110</v>
      </c>
      <c r="Y444" s="7">
        <f t="shared" si="42"/>
        <v>2.6032315978456014E-2</v>
      </c>
      <c r="Z444" s="7">
        <f t="shared" si="43"/>
        <v>0.97666068222621183</v>
      </c>
      <c r="AA444">
        <f t="shared" si="44"/>
        <v>53</v>
      </c>
      <c r="AB444" s="8">
        <f t="shared" si="45"/>
        <v>6164.8200000000006</v>
      </c>
      <c r="AC444">
        <f t="shared" si="46"/>
        <v>46.7</v>
      </c>
      <c r="AD444" t="str">
        <f t="shared" si="47"/>
        <v>Medium</v>
      </c>
      <c r="AE444" t="str">
        <f t="shared" si="48"/>
        <v>No</v>
      </c>
    </row>
    <row r="445" spans="1:31" x14ac:dyDescent="0.35">
      <c r="A445" t="s">
        <v>557</v>
      </c>
      <c r="B445" s="5">
        <v>46230</v>
      </c>
      <c r="C445" t="s">
        <v>503</v>
      </c>
      <c r="D445" t="s">
        <v>22</v>
      </c>
      <c r="E445" t="s">
        <v>93</v>
      </c>
      <c r="F445" t="s">
        <v>30</v>
      </c>
      <c r="G445" t="s">
        <v>90</v>
      </c>
      <c r="H445" t="s">
        <v>40</v>
      </c>
      <c r="I445" t="s">
        <v>46</v>
      </c>
      <c r="J445">
        <v>1360</v>
      </c>
      <c r="K445">
        <v>1268</v>
      </c>
      <c r="L445">
        <v>18</v>
      </c>
      <c r="M445">
        <v>10</v>
      </c>
      <c r="N445">
        <v>1238</v>
      </c>
      <c r="O445">
        <v>40.9</v>
      </c>
      <c r="P445">
        <v>8.8000000000000007</v>
      </c>
      <c r="Q445" t="s">
        <v>80</v>
      </c>
      <c r="R445" t="s">
        <v>81</v>
      </c>
      <c r="S445" t="s">
        <v>138</v>
      </c>
      <c r="T445">
        <v>0</v>
      </c>
      <c r="U445">
        <v>2</v>
      </c>
      <c r="V445" s="6">
        <v>33.090000000000003</v>
      </c>
      <c r="W445" s="6">
        <v>207.47</v>
      </c>
      <c r="X445" t="s">
        <v>115</v>
      </c>
      <c r="Y445" s="7">
        <f t="shared" si="42"/>
        <v>1.4195583596214511E-2</v>
      </c>
      <c r="Z445" s="7">
        <f t="shared" si="43"/>
        <v>0.97634069400630918</v>
      </c>
      <c r="AA445">
        <f t="shared" si="44"/>
        <v>92</v>
      </c>
      <c r="AB445" s="8">
        <f t="shared" si="45"/>
        <v>595.62000000000012</v>
      </c>
      <c r="AC445">
        <f t="shared" si="46"/>
        <v>38.700000000000003</v>
      </c>
      <c r="AD445" t="str">
        <f t="shared" si="47"/>
        <v>Low</v>
      </c>
      <c r="AE445" t="str">
        <f t="shared" si="48"/>
        <v>Yes</v>
      </c>
    </row>
    <row r="446" spans="1:31" x14ac:dyDescent="0.35">
      <c r="A446" t="s">
        <v>558</v>
      </c>
      <c r="B446" s="5">
        <v>46230</v>
      </c>
      <c r="C446" t="s">
        <v>503</v>
      </c>
      <c r="D446" t="s">
        <v>23</v>
      </c>
      <c r="E446" t="s">
        <v>78</v>
      </c>
      <c r="F446" t="s">
        <v>27</v>
      </c>
      <c r="G446" t="s">
        <v>85</v>
      </c>
      <c r="H446" t="s">
        <v>38</v>
      </c>
      <c r="I446" t="s">
        <v>46</v>
      </c>
      <c r="J446">
        <v>1452</v>
      </c>
      <c r="K446">
        <v>1364</v>
      </c>
      <c r="L446">
        <v>19</v>
      </c>
      <c r="M446">
        <v>15</v>
      </c>
      <c r="N446">
        <v>1239</v>
      </c>
      <c r="O446">
        <v>33.5</v>
      </c>
      <c r="P446">
        <v>15.6</v>
      </c>
      <c r="Q446" t="s">
        <v>80</v>
      </c>
      <c r="R446" t="s">
        <v>81</v>
      </c>
      <c r="S446" t="s">
        <v>138</v>
      </c>
      <c r="T446">
        <v>6</v>
      </c>
      <c r="U446">
        <v>6</v>
      </c>
      <c r="V446" s="6">
        <v>74.52</v>
      </c>
      <c r="W446" s="6">
        <v>557.79</v>
      </c>
      <c r="X446" t="s">
        <v>121</v>
      </c>
      <c r="Y446" s="7">
        <f t="shared" si="42"/>
        <v>1.3929618768328446E-2</v>
      </c>
      <c r="Z446" s="7">
        <f t="shared" si="43"/>
        <v>0.90835777126099704</v>
      </c>
      <c r="AA446">
        <f t="shared" si="44"/>
        <v>88</v>
      </c>
      <c r="AB446" s="8">
        <f t="shared" si="45"/>
        <v>1415.8799999999999</v>
      </c>
      <c r="AC446">
        <f t="shared" si="46"/>
        <v>50.3</v>
      </c>
      <c r="AD446" t="str">
        <f t="shared" si="47"/>
        <v>Medium</v>
      </c>
      <c r="AE446" t="str">
        <f t="shared" si="48"/>
        <v>Yes</v>
      </c>
    </row>
    <row r="447" spans="1:31" x14ac:dyDescent="0.35">
      <c r="A447" t="s">
        <v>559</v>
      </c>
      <c r="B447" s="5">
        <v>46230</v>
      </c>
      <c r="C447" t="s">
        <v>503</v>
      </c>
      <c r="D447" t="s">
        <v>23</v>
      </c>
      <c r="E447" t="s">
        <v>78</v>
      </c>
      <c r="F447" t="s">
        <v>30</v>
      </c>
      <c r="G447" t="s">
        <v>85</v>
      </c>
      <c r="H447" t="s">
        <v>36</v>
      </c>
      <c r="I447" t="s">
        <v>42</v>
      </c>
      <c r="J447">
        <v>1170</v>
      </c>
      <c r="K447">
        <v>1098</v>
      </c>
      <c r="L447">
        <v>25</v>
      </c>
      <c r="M447">
        <v>16</v>
      </c>
      <c r="N447">
        <v>1043</v>
      </c>
      <c r="O447">
        <v>41</v>
      </c>
      <c r="P447">
        <v>0</v>
      </c>
      <c r="Q447" t="s">
        <v>86</v>
      </c>
      <c r="R447" t="s">
        <v>99</v>
      </c>
      <c r="S447" t="s">
        <v>82</v>
      </c>
      <c r="T447">
        <v>4</v>
      </c>
      <c r="U447">
        <v>1</v>
      </c>
      <c r="V447" s="6">
        <v>222.21</v>
      </c>
      <c r="W447" s="6">
        <v>3618.82</v>
      </c>
      <c r="X447" t="s">
        <v>94</v>
      </c>
      <c r="Y447" s="7">
        <f t="shared" si="42"/>
        <v>2.2768670309653915E-2</v>
      </c>
      <c r="Z447" s="7">
        <f t="shared" si="43"/>
        <v>0.94990892531876137</v>
      </c>
      <c r="AA447">
        <f t="shared" si="44"/>
        <v>72</v>
      </c>
      <c r="AB447" s="8">
        <f t="shared" si="45"/>
        <v>5555.25</v>
      </c>
      <c r="AC447">
        <f t="shared" si="46"/>
        <v>63</v>
      </c>
      <c r="AD447" t="str">
        <f t="shared" si="47"/>
        <v>Medium</v>
      </c>
      <c r="AE447" t="str">
        <f t="shared" si="48"/>
        <v>Yes</v>
      </c>
    </row>
    <row r="448" spans="1:31" x14ac:dyDescent="0.35">
      <c r="A448" t="s">
        <v>560</v>
      </c>
      <c r="B448" s="5">
        <v>46230</v>
      </c>
      <c r="C448" t="s">
        <v>503</v>
      </c>
      <c r="D448" t="s">
        <v>20</v>
      </c>
      <c r="E448" t="s">
        <v>78</v>
      </c>
      <c r="F448" t="s">
        <v>30</v>
      </c>
      <c r="G448" t="s">
        <v>85</v>
      </c>
      <c r="H448" t="s">
        <v>37</v>
      </c>
      <c r="I448" t="s">
        <v>42</v>
      </c>
      <c r="J448">
        <v>787</v>
      </c>
      <c r="K448">
        <v>717</v>
      </c>
      <c r="L448">
        <v>24</v>
      </c>
      <c r="M448">
        <v>15</v>
      </c>
      <c r="N448">
        <v>668</v>
      </c>
      <c r="O448">
        <v>40.6</v>
      </c>
      <c r="P448">
        <v>11.5</v>
      </c>
      <c r="Q448" t="s">
        <v>96</v>
      </c>
      <c r="R448" t="s">
        <v>99</v>
      </c>
      <c r="S448" t="s">
        <v>82</v>
      </c>
      <c r="T448">
        <v>4</v>
      </c>
      <c r="U448">
        <v>0</v>
      </c>
      <c r="V448" s="6">
        <v>178.67</v>
      </c>
      <c r="W448" s="6">
        <v>2921.29</v>
      </c>
      <c r="X448" t="s">
        <v>87</v>
      </c>
      <c r="Y448" s="7">
        <f t="shared" si="42"/>
        <v>3.3472803347280332E-2</v>
      </c>
      <c r="Z448" s="7">
        <f t="shared" si="43"/>
        <v>0.9316596931659693</v>
      </c>
      <c r="AA448">
        <f t="shared" si="44"/>
        <v>70</v>
      </c>
      <c r="AB448" s="8">
        <f t="shared" si="45"/>
        <v>4288.08</v>
      </c>
      <c r="AC448">
        <f t="shared" si="46"/>
        <v>81.5</v>
      </c>
      <c r="AD448" t="str">
        <f t="shared" si="47"/>
        <v>High</v>
      </c>
      <c r="AE448" t="str">
        <f t="shared" si="48"/>
        <v>Yes</v>
      </c>
    </row>
    <row r="449" spans="1:31" x14ac:dyDescent="0.35">
      <c r="A449" t="s">
        <v>561</v>
      </c>
      <c r="B449" s="5">
        <v>46230</v>
      </c>
      <c r="C449" t="s">
        <v>503</v>
      </c>
      <c r="D449" t="s">
        <v>23</v>
      </c>
      <c r="E449" t="s">
        <v>78</v>
      </c>
      <c r="F449" t="s">
        <v>32</v>
      </c>
      <c r="G449" t="s">
        <v>85</v>
      </c>
      <c r="H449" t="s">
        <v>38</v>
      </c>
      <c r="I449" t="s">
        <v>48</v>
      </c>
      <c r="J449">
        <v>1033</v>
      </c>
      <c r="K449">
        <v>951</v>
      </c>
      <c r="L449">
        <v>39</v>
      </c>
      <c r="M449">
        <v>19</v>
      </c>
      <c r="N449">
        <v>925</v>
      </c>
      <c r="O449">
        <v>45.2</v>
      </c>
      <c r="P449">
        <v>12.6</v>
      </c>
      <c r="Q449" t="s">
        <v>80</v>
      </c>
      <c r="R449" t="s">
        <v>81</v>
      </c>
      <c r="S449" t="s">
        <v>82</v>
      </c>
      <c r="T449">
        <v>5</v>
      </c>
      <c r="U449">
        <v>3</v>
      </c>
      <c r="V449" s="6">
        <v>410.74</v>
      </c>
      <c r="W449" s="6">
        <v>8624.6299999999992</v>
      </c>
      <c r="X449" t="s">
        <v>94</v>
      </c>
      <c r="Y449" s="7">
        <f t="shared" si="42"/>
        <v>4.1009463722397478E-2</v>
      </c>
      <c r="Z449" s="7">
        <f t="shared" si="43"/>
        <v>0.97266035751840163</v>
      </c>
      <c r="AA449">
        <f t="shared" si="44"/>
        <v>82</v>
      </c>
      <c r="AB449" s="8">
        <f t="shared" si="45"/>
        <v>16018.86</v>
      </c>
      <c r="AC449">
        <f t="shared" si="46"/>
        <v>58.6</v>
      </c>
      <c r="AD449" t="str">
        <f t="shared" si="47"/>
        <v>Medium</v>
      </c>
      <c r="AE449" t="str">
        <f t="shared" si="48"/>
        <v>No</v>
      </c>
    </row>
    <row r="450" spans="1:31" x14ac:dyDescent="0.35">
      <c r="A450" t="s">
        <v>562</v>
      </c>
      <c r="B450" s="5">
        <v>46230</v>
      </c>
      <c r="C450" t="s">
        <v>503</v>
      </c>
      <c r="D450" t="s">
        <v>22</v>
      </c>
      <c r="E450" t="s">
        <v>93</v>
      </c>
      <c r="F450" t="s">
        <v>32</v>
      </c>
      <c r="G450" t="s">
        <v>85</v>
      </c>
      <c r="H450" t="s">
        <v>40</v>
      </c>
      <c r="I450" t="s">
        <v>45</v>
      </c>
      <c r="J450">
        <v>824</v>
      </c>
      <c r="K450">
        <v>804</v>
      </c>
      <c r="L450">
        <v>33</v>
      </c>
      <c r="M450">
        <v>18</v>
      </c>
      <c r="N450">
        <v>737</v>
      </c>
      <c r="O450">
        <v>38.5</v>
      </c>
      <c r="P450">
        <v>10.5</v>
      </c>
      <c r="Q450" t="s">
        <v>80</v>
      </c>
      <c r="R450" t="s">
        <v>81</v>
      </c>
      <c r="S450" t="s">
        <v>82</v>
      </c>
      <c r="T450">
        <v>5</v>
      </c>
      <c r="U450">
        <v>2</v>
      </c>
      <c r="V450" s="6">
        <v>262.39999999999998</v>
      </c>
      <c r="W450" s="6">
        <v>3260.71</v>
      </c>
      <c r="X450" t="s">
        <v>94</v>
      </c>
      <c r="Y450" s="7">
        <f t="shared" ref="Y450:Y513" si="49">IFERROR(L450/K450,0)</f>
        <v>4.1044776119402986E-2</v>
      </c>
      <c r="Z450" s="7">
        <f t="shared" ref="Z450:Z513" si="50">IFERROR(N450/K450,0)</f>
        <v>0.91666666666666663</v>
      </c>
      <c r="AA450">
        <f t="shared" ref="AA450:AA513" si="51">J450-K450</f>
        <v>20</v>
      </c>
      <c r="AB450" s="8">
        <f t="shared" ref="AB450:AB513" si="52">L450*V450</f>
        <v>8659.1999999999989</v>
      </c>
      <c r="AC450">
        <f t="shared" ref="AC450:AC513" si="53">ROUND(MIN(100,(Y450*1000)+(1-Z450)*45+(P450*1.3)+IF(Q450="Late",18,IF(Q450="Pending",10,0))+IF(R450="Yes",20,0)+IF(S450="Decision Required",12,0)),1)</f>
        <v>58.4</v>
      </c>
      <c r="AD450" t="str">
        <f t="shared" ref="AD450:AD513" si="54">IF(AC450&gt;=65,"High",IF(AC450&gt;=40,"Medium","Low"))</f>
        <v>Medium</v>
      </c>
      <c r="AE450" t="str">
        <f t="shared" ref="AE450:AE513" si="55">IF(OR(AD450="High",Q450="Late",R450="Yes",S450="Decision Required"),"Yes","No")</f>
        <v>No</v>
      </c>
    </row>
    <row r="451" spans="1:31" x14ac:dyDescent="0.35">
      <c r="A451" t="s">
        <v>563</v>
      </c>
      <c r="B451" s="5">
        <v>46230</v>
      </c>
      <c r="C451" t="s">
        <v>503</v>
      </c>
      <c r="D451" t="s">
        <v>24</v>
      </c>
      <c r="E451" t="s">
        <v>78</v>
      </c>
      <c r="F451" t="s">
        <v>29</v>
      </c>
      <c r="G451" t="s">
        <v>79</v>
      </c>
      <c r="H451" t="s">
        <v>34</v>
      </c>
      <c r="I451" t="s">
        <v>46</v>
      </c>
      <c r="J451">
        <v>1222</v>
      </c>
      <c r="K451">
        <v>1129</v>
      </c>
      <c r="L451">
        <v>30</v>
      </c>
      <c r="M451">
        <v>23</v>
      </c>
      <c r="N451">
        <v>1098</v>
      </c>
      <c r="O451">
        <v>18.8</v>
      </c>
      <c r="P451">
        <v>5.9</v>
      </c>
      <c r="Q451" t="s">
        <v>80</v>
      </c>
      <c r="R451" t="s">
        <v>81</v>
      </c>
      <c r="S451" t="s">
        <v>82</v>
      </c>
      <c r="T451">
        <v>4</v>
      </c>
      <c r="U451">
        <v>3</v>
      </c>
      <c r="V451" s="6">
        <v>401.91</v>
      </c>
      <c r="W451" s="6">
        <v>5674.23</v>
      </c>
      <c r="X451" t="s">
        <v>151</v>
      </c>
      <c r="Y451" s="7">
        <f t="shared" si="49"/>
        <v>2.6572187776793623E-2</v>
      </c>
      <c r="Z451" s="7">
        <f t="shared" si="50"/>
        <v>0.97254207263064663</v>
      </c>
      <c r="AA451">
        <f t="shared" si="51"/>
        <v>93</v>
      </c>
      <c r="AB451" s="8">
        <f t="shared" si="52"/>
        <v>12057.300000000001</v>
      </c>
      <c r="AC451">
        <f t="shared" si="53"/>
        <v>35.5</v>
      </c>
      <c r="AD451" t="str">
        <f t="shared" si="54"/>
        <v>Low</v>
      </c>
      <c r="AE451" t="str">
        <f t="shared" si="55"/>
        <v>No</v>
      </c>
    </row>
    <row r="452" spans="1:31" x14ac:dyDescent="0.35">
      <c r="A452" t="s">
        <v>564</v>
      </c>
      <c r="B452" s="5">
        <v>46237</v>
      </c>
      <c r="C452" t="s">
        <v>565</v>
      </c>
      <c r="D452" t="s">
        <v>23</v>
      </c>
      <c r="E452" t="s">
        <v>78</v>
      </c>
      <c r="F452" t="s">
        <v>30</v>
      </c>
      <c r="G452" t="s">
        <v>90</v>
      </c>
      <c r="H452" t="s">
        <v>37</v>
      </c>
      <c r="I452" t="s">
        <v>44</v>
      </c>
      <c r="J452">
        <v>1325</v>
      </c>
      <c r="K452">
        <v>1205</v>
      </c>
      <c r="L452">
        <v>37</v>
      </c>
      <c r="M452">
        <v>26</v>
      </c>
      <c r="N452">
        <v>1080</v>
      </c>
      <c r="O452">
        <v>36.4</v>
      </c>
      <c r="P452">
        <v>27</v>
      </c>
      <c r="Q452" t="s">
        <v>86</v>
      </c>
      <c r="R452" t="s">
        <v>81</v>
      </c>
      <c r="S452" t="s">
        <v>82</v>
      </c>
      <c r="T452">
        <v>5</v>
      </c>
      <c r="U452">
        <v>3</v>
      </c>
      <c r="V452" s="6">
        <v>36.58</v>
      </c>
      <c r="W452" s="6">
        <v>972.4</v>
      </c>
      <c r="X452" t="s">
        <v>94</v>
      </c>
      <c r="Y452" s="7">
        <f t="shared" si="49"/>
        <v>3.0705394190871368E-2</v>
      </c>
      <c r="Z452" s="7">
        <f t="shared" si="50"/>
        <v>0.89626556016597514</v>
      </c>
      <c r="AA452">
        <f t="shared" si="51"/>
        <v>120</v>
      </c>
      <c r="AB452" s="8">
        <f t="shared" si="52"/>
        <v>1353.46</v>
      </c>
      <c r="AC452">
        <f t="shared" si="53"/>
        <v>88.5</v>
      </c>
      <c r="AD452" t="str">
        <f t="shared" si="54"/>
        <v>High</v>
      </c>
      <c r="AE452" t="str">
        <f t="shared" si="55"/>
        <v>Yes</v>
      </c>
    </row>
    <row r="453" spans="1:31" x14ac:dyDescent="0.35">
      <c r="A453" t="s">
        <v>566</v>
      </c>
      <c r="B453" s="5">
        <v>46237</v>
      </c>
      <c r="C453" t="s">
        <v>565</v>
      </c>
      <c r="D453" t="s">
        <v>25</v>
      </c>
      <c r="E453" t="s">
        <v>89</v>
      </c>
      <c r="F453" t="s">
        <v>29</v>
      </c>
      <c r="G453" t="s">
        <v>90</v>
      </c>
      <c r="H453" t="s">
        <v>38</v>
      </c>
      <c r="I453" t="s">
        <v>48</v>
      </c>
      <c r="J453">
        <v>915</v>
      </c>
      <c r="K453">
        <v>885</v>
      </c>
      <c r="L453">
        <v>7</v>
      </c>
      <c r="M453">
        <v>4</v>
      </c>
      <c r="N453">
        <v>876</v>
      </c>
      <c r="O453">
        <v>48.5</v>
      </c>
      <c r="P453">
        <v>0</v>
      </c>
      <c r="Q453" t="s">
        <v>80</v>
      </c>
      <c r="R453" t="s">
        <v>81</v>
      </c>
      <c r="S453" t="s">
        <v>82</v>
      </c>
      <c r="T453">
        <v>7</v>
      </c>
      <c r="U453">
        <v>0</v>
      </c>
      <c r="V453" s="6">
        <v>342.72</v>
      </c>
      <c r="W453" s="6">
        <v>1324.63</v>
      </c>
      <c r="X453" t="s">
        <v>151</v>
      </c>
      <c r="Y453" s="7">
        <f t="shared" si="49"/>
        <v>7.9096045197740109E-3</v>
      </c>
      <c r="Z453" s="7">
        <f t="shared" si="50"/>
        <v>0.98983050847457632</v>
      </c>
      <c r="AA453">
        <f t="shared" si="51"/>
        <v>30</v>
      </c>
      <c r="AB453" s="8">
        <f t="shared" si="52"/>
        <v>2399.04</v>
      </c>
      <c r="AC453">
        <f t="shared" si="53"/>
        <v>8.4</v>
      </c>
      <c r="AD453" t="str">
        <f t="shared" si="54"/>
        <v>Low</v>
      </c>
      <c r="AE453" t="str">
        <f t="shared" si="55"/>
        <v>No</v>
      </c>
    </row>
    <row r="454" spans="1:31" x14ac:dyDescent="0.35">
      <c r="A454" t="s">
        <v>567</v>
      </c>
      <c r="B454" s="5">
        <v>46237</v>
      </c>
      <c r="C454" t="s">
        <v>565</v>
      </c>
      <c r="D454" t="s">
        <v>24</v>
      </c>
      <c r="E454" t="s">
        <v>78</v>
      </c>
      <c r="F454" t="s">
        <v>29</v>
      </c>
      <c r="G454" t="s">
        <v>85</v>
      </c>
      <c r="H454" t="s">
        <v>40</v>
      </c>
      <c r="I454" t="s">
        <v>47</v>
      </c>
      <c r="J454">
        <v>1033</v>
      </c>
      <c r="K454">
        <v>1037</v>
      </c>
      <c r="L454">
        <v>18</v>
      </c>
      <c r="M454">
        <v>12</v>
      </c>
      <c r="N454">
        <v>913</v>
      </c>
      <c r="O454">
        <v>25</v>
      </c>
      <c r="P454">
        <v>5.2</v>
      </c>
      <c r="Q454" t="s">
        <v>80</v>
      </c>
      <c r="R454" t="s">
        <v>81</v>
      </c>
      <c r="S454" t="s">
        <v>82</v>
      </c>
      <c r="T454">
        <v>0</v>
      </c>
      <c r="U454">
        <v>3</v>
      </c>
      <c r="V454" s="6">
        <v>388.89</v>
      </c>
      <c r="W454" s="6">
        <v>4200.47</v>
      </c>
      <c r="X454" t="s">
        <v>94</v>
      </c>
      <c r="Y454" s="7">
        <f t="shared" si="49"/>
        <v>1.7357762777242044E-2</v>
      </c>
      <c r="Z454" s="7">
        <f t="shared" si="50"/>
        <v>0.88042430086788814</v>
      </c>
      <c r="AA454">
        <f t="shared" si="51"/>
        <v>-4</v>
      </c>
      <c r="AB454" s="8">
        <f t="shared" si="52"/>
        <v>7000.0199999999995</v>
      </c>
      <c r="AC454">
        <f t="shared" si="53"/>
        <v>29.5</v>
      </c>
      <c r="AD454" t="str">
        <f t="shared" si="54"/>
        <v>Low</v>
      </c>
      <c r="AE454" t="str">
        <f t="shared" si="55"/>
        <v>No</v>
      </c>
    </row>
    <row r="455" spans="1:31" x14ac:dyDescent="0.35">
      <c r="A455" t="s">
        <v>568</v>
      </c>
      <c r="B455" s="5">
        <v>46237</v>
      </c>
      <c r="C455" t="s">
        <v>565</v>
      </c>
      <c r="D455" t="s">
        <v>25</v>
      </c>
      <c r="E455" t="s">
        <v>89</v>
      </c>
      <c r="F455" t="s">
        <v>29</v>
      </c>
      <c r="G455" t="s">
        <v>85</v>
      </c>
      <c r="H455" t="s">
        <v>40</v>
      </c>
      <c r="I455" t="s">
        <v>47</v>
      </c>
      <c r="J455">
        <v>1295</v>
      </c>
      <c r="K455">
        <v>1228</v>
      </c>
      <c r="L455">
        <v>25</v>
      </c>
      <c r="M455">
        <v>12</v>
      </c>
      <c r="N455">
        <v>1127</v>
      </c>
      <c r="O455">
        <v>36.6</v>
      </c>
      <c r="P455">
        <v>6.4</v>
      </c>
      <c r="Q455" t="s">
        <v>80</v>
      </c>
      <c r="R455" t="s">
        <v>81</v>
      </c>
      <c r="S455" t="s">
        <v>82</v>
      </c>
      <c r="T455">
        <v>9</v>
      </c>
      <c r="U455">
        <v>1</v>
      </c>
      <c r="V455" s="6">
        <v>326.18</v>
      </c>
      <c r="W455" s="6">
        <v>2813.28</v>
      </c>
      <c r="X455" t="s">
        <v>115</v>
      </c>
      <c r="Y455" s="7">
        <f t="shared" si="49"/>
        <v>2.035830618892508E-2</v>
      </c>
      <c r="Z455" s="7">
        <f t="shared" si="50"/>
        <v>0.91775244299674263</v>
      </c>
      <c r="AA455">
        <f t="shared" si="51"/>
        <v>67</v>
      </c>
      <c r="AB455" s="8">
        <f t="shared" si="52"/>
        <v>8154.5</v>
      </c>
      <c r="AC455">
        <f t="shared" si="53"/>
        <v>32.4</v>
      </c>
      <c r="AD455" t="str">
        <f t="shared" si="54"/>
        <v>Low</v>
      </c>
      <c r="AE455" t="str">
        <f t="shared" si="55"/>
        <v>No</v>
      </c>
    </row>
    <row r="456" spans="1:31" x14ac:dyDescent="0.35">
      <c r="A456" t="s">
        <v>569</v>
      </c>
      <c r="B456" s="5">
        <v>46237</v>
      </c>
      <c r="C456" t="s">
        <v>565</v>
      </c>
      <c r="D456" t="s">
        <v>22</v>
      </c>
      <c r="E456" t="s">
        <v>93</v>
      </c>
      <c r="F456" t="s">
        <v>30</v>
      </c>
      <c r="G456" t="s">
        <v>90</v>
      </c>
      <c r="H456" t="s">
        <v>37</v>
      </c>
      <c r="I456" t="s">
        <v>48</v>
      </c>
      <c r="J456">
        <v>1055</v>
      </c>
      <c r="K456">
        <v>1033</v>
      </c>
      <c r="L456">
        <v>25</v>
      </c>
      <c r="M456">
        <v>9</v>
      </c>
      <c r="N456">
        <v>946</v>
      </c>
      <c r="O456">
        <v>24.9</v>
      </c>
      <c r="P456">
        <v>10.5</v>
      </c>
      <c r="Q456" t="s">
        <v>80</v>
      </c>
      <c r="R456" t="s">
        <v>81</v>
      </c>
      <c r="S456" t="s">
        <v>82</v>
      </c>
      <c r="T456">
        <v>0</v>
      </c>
      <c r="U456">
        <v>2</v>
      </c>
      <c r="V456" s="6">
        <v>307.97000000000003</v>
      </c>
      <c r="W456" s="6">
        <v>5943.08</v>
      </c>
      <c r="X456" t="s">
        <v>87</v>
      </c>
      <c r="Y456" s="7">
        <f t="shared" si="49"/>
        <v>2.420135527589545E-2</v>
      </c>
      <c r="Z456" s="7">
        <f t="shared" si="50"/>
        <v>0.91577928363988381</v>
      </c>
      <c r="AA456">
        <f t="shared" si="51"/>
        <v>22</v>
      </c>
      <c r="AB456" s="8">
        <f t="shared" si="52"/>
        <v>7699.2500000000009</v>
      </c>
      <c r="AC456">
        <f t="shared" si="53"/>
        <v>41.6</v>
      </c>
      <c r="AD456" t="str">
        <f t="shared" si="54"/>
        <v>Medium</v>
      </c>
      <c r="AE456" t="str">
        <f t="shared" si="55"/>
        <v>No</v>
      </c>
    </row>
    <row r="457" spans="1:31" x14ac:dyDescent="0.35">
      <c r="A457" t="s">
        <v>570</v>
      </c>
      <c r="B457" s="5">
        <v>46237</v>
      </c>
      <c r="C457" t="s">
        <v>565</v>
      </c>
      <c r="D457" t="s">
        <v>23</v>
      </c>
      <c r="E457" t="s">
        <v>78</v>
      </c>
      <c r="F457" t="s">
        <v>29</v>
      </c>
      <c r="G457" t="s">
        <v>85</v>
      </c>
      <c r="H457" t="s">
        <v>39</v>
      </c>
      <c r="I457" t="s">
        <v>45</v>
      </c>
      <c r="J457">
        <v>1179</v>
      </c>
      <c r="K457">
        <v>1095</v>
      </c>
      <c r="L457">
        <v>34</v>
      </c>
      <c r="M457">
        <v>25</v>
      </c>
      <c r="N457">
        <v>1075</v>
      </c>
      <c r="O457">
        <v>34.9</v>
      </c>
      <c r="P457">
        <v>7.3</v>
      </c>
      <c r="Q457" t="s">
        <v>80</v>
      </c>
      <c r="R457" t="s">
        <v>81</v>
      </c>
      <c r="S457" t="s">
        <v>82</v>
      </c>
      <c r="T457">
        <v>3</v>
      </c>
      <c r="U457">
        <v>2</v>
      </c>
      <c r="V457" s="6">
        <v>308.14999999999998</v>
      </c>
      <c r="W457" s="6">
        <v>3996.42</v>
      </c>
      <c r="X457" t="s">
        <v>94</v>
      </c>
      <c r="Y457" s="7">
        <f t="shared" si="49"/>
        <v>3.1050228310502283E-2</v>
      </c>
      <c r="Z457" s="7">
        <f t="shared" si="50"/>
        <v>0.9817351598173516</v>
      </c>
      <c r="AA457">
        <f t="shared" si="51"/>
        <v>84</v>
      </c>
      <c r="AB457" s="8">
        <f t="shared" si="52"/>
        <v>10477.099999999999</v>
      </c>
      <c r="AC457">
        <f t="shared" si="53"/>
        <v>41.4</v>
      </c>
      <c r="AD457" t="str">
        <f t="shared" si="54"/>
        <v>Medium</v>
      </c>
      <c r="AE457" t="str">
        <f t="shared" si="55"/>
        <v>No</v>
      </c>
    </row>
    <row r="458" spans="1:31" x14ac:dyDescent="0.35">
      <c r="A458" t="s">
        <v>571</v>
      </c>
      <c r="B458" s="5">
        <v>46237</v>
      </c>
      <c r="C458" t="s">
        <v>565</v>
      </c>
      <c r="D458" t="s">
        <v>25</v>
      </c>
      <c r="E458" t="s">
        <v>89</v>
      </c>
      <c r="F458" t="s">
        <v>27</v>
      </c>
      <c r="G458" t="s">
        <v>79</v>
      </c>
      <c r="H458" t="s">
        <v>37</v>
      </c>
      <c r="I458" t="s">
        <v>48</v>
      </c>
      <c r="J458">
        <v>1072</v>
      </c>
      <c r="K458">
        <v>1037</v>
      </c>
      <c r="L458">
        <v>31</v>
      </c>
      <c r="M458">
        <v>23</v>
      </c>
      <c r="N458">
        <v>943</v>
      </c>
      <c r="O458">
        <v>21.5</v>
      </c>
      <c r="P458">
        <v>5.8</v>
      </c>
      <c r="Q458" t="s">
        <v>86</v>
      </c>
      <c r="R458" t="s">
        <v>81</v>
      </c>
      <c r="S458" t="s">
        <v>82</v>
      </c>
      <c r="T458">
        <v>2</v>
      </c>
      <c r="U458">
        <v>5</v>
      </c>
      <c r="V458" s="6">
        <v>346.89</v>
      </c>
      <c r="W458" s="6">
        <v>6655.96</v>
      </c>
      <c r="X458" t="s">
        <v>83</v>
      </c>
      <c r="Y458" s="7">
        <f t="shared" si="49"/>
        <v>2.9893924783027964E-2</v>
      </c>
      <c r="Z458" s="7">
        <f t="shared" si="50"/>
        <v>0.90935390549662487</v>
      </c>
      <c r="AA458">
        <f t="shared" si="51"/>
        <v>35</v>
      </c>
      <c r="AB458" s="8">
        <f t="shared" si="52"/>
        <v>10753.59</v>
      </c>
      <c r="AC458">
        <f t="shared" si="53"/>
        <v>59.5</v>
      </c>
      <c r="AD458" t="str">
        <f t="shared" si="54"/>
        <v>Medium</v>
      </c>
      <c r="AE458" t="str">
        <f t="shared" si="55"/>
        <v>Yes</v>
      </c>
    </row>
    <row r="459" spans="1:31" x14ac:dyDescent="0.35">
      <c r="A459" t="s">
        <v>572</v>
      </c>
      <c r="B459" s="5">
        <v>46237</v>
      </c>
      <c r="C459" t="s">
        <v>565</v>
      </c>
      <c r="D459" t="s">
        <v>22</v>
      </c>
      <c r="E459" t="s">
        <v>93</v>
      </c>
      <c r="F459" t="s">
        <v>31</v>
      </c>
      <c r="G459" t="s">
        <v>79</v>
      </c>
      <c r="H459" t="s">
        <v>39</v>
      </c>
      <c r="I459" t="s">
        <v>46</v>
      </c>
      <c r="J459">
        <v>1281</v>
      </c>
      <c r="K459">
        <v>1219</v>
      </c>
      <c r="L459">
        <v>15</v>
      </c>
      <c r="M459">
        <v>9</v>
      </c>
      <c r="N459">
        <v>1165</v>
      </c>
      <c r="O459">
        <v>50.2</v>
      </c>
      <c r="P459">
        <v>16.2</v>
      </c>
      <c r="Q459" t="s">
        <v>80</v>
      </c>
      <c r="R459" t="s">
        <v>81</v>
      </c>
      <c r="S459" t="s">
        <v>82</v>
      </c>
      <c r="T459">
        <v>5</v>
      </c>
      <c r="U459">
        <v>5</v>
      </c>
      <c r="V459" s="6">
        <v>323.79000000000002</v>
      </c>
      <c r="W459" s="6">
        <v>1657.56</v>
      </c>
      <c r="X459" t="s">
        <v>91</v>
      </c>
      <c r="Y459" s="7">
        <f t="shared" si="49"/>
        <v>1.2305168170631665E-2</v>
      </c>
      <c r="Z459" s="7">
        <f t="shared" si="50"/>
        <v>0.95570139458572601</v>
      </c>
      <c r="AA459">
        <f t="shared" si="51"/>
        <v>62</v>
      </c>
      <c r="AB459" s="8">
        <f t="shared" si="52"/>
        <v>4856.8500000000004</v>
      </c>
      <c r="AC459">
        <f t="shared" si="53"/>
        <v>35.4</v>
      </c>
      <c r="AD459" t="str">
        <f t="shared" si="54"/>
        <v>Low</v>
      </c>
      <c r="AE459" t="str">
        <f t="shared" si="55"/>
        <v>No</v>
      </c>
    </row>
    <row r="460" spans="1:31" x14ac:dyDescent="0.35">
      <c r="A460" t="s">
        <v>573</v>
      </c>
      <c r="B460" s="5">
        <v>46237</v>
      </c>
      <c r="C460" t="s">
        <v>565</v>
      </c>
      <c r="D460" t="s">
        <v>23</v>
      </c>
      <c r="E460" t="s">
        <v>78</v>
      </c>
      <c r="F460" t="s">
        <v>32</v>
      </c>
      <c r="G460" t="s">
        <v>85</v>
      </c>
      <c r="H460" t="s">
        <v>34</v>
      </c>
      <c r="I460" t="s">
        <v>42</v>
      </c>
      <c r="J460">
        <v>964</v>
      </c>
      <c r="K460">
        <v>915</v>
      </c>
      <c r="L460">
        <v>23</v>
      </c>
      <c r="M460">
        <v>8</v>
      </c>
      <c r="N460">
        <v>845</v>
      </c>
      <c r="O460">
        <v>25.3</v>
      </c>
      <c r="P460">
        <v>15.7</v>
      </c>
      <c r="Q460" t="s">
        <v>80</v>
      </c>
      <c r="R460" t="s">
        <v>81</v>
      </c>
      <c r="S460" t="s">
        <v>82</v>
      </c>
      <c r="T460">
        <v>2</v>
      </c>
      <c r="U460">
        <v>4</v>
      </c>
      <c r="V460" s="6">
        <v>364.78</v>
      </c>
      <c r="W460" s="6">
        <v>2308.5</v>
      </c>
      <c r="X460" t="s">
        <v>91</v>
      </c>
      <c r="Y460" s="7">
        <f t="shared" si="49"/>
        <v>2.5136612021857924E-2</v>
      </c>
      <c r="Z460" s="7">
        <f t="shared" si="50"/>
        <v>0.92349726775956287</v>
      </c>
      <c r="AA460">
        <f t="shared" si="51"/>
        <v>49</v>
      </c>
      <c r="AB460" s="8">
        <f t="shared" si="52"/>
        <v>8389.9399999999987</v>
      </c>
      <c r="AC460">
        <f t="shared" si="53"/>
        <v>49</v>
      </c>
      <c r="AD460" t="str">
        <f t="shared" si="54"/>
        <v>Medium</v>
      </c>
      <c r="AE460" t="str">
        <f t="shared" si="55"/>
        <v>No</v>
      </c>
    </row>
    <row r="461" spans="1:31" x14ac:dyDescent="0.35">
      <c r="A461" t="s">
        <v>574</v>
      </c>
      <c r="B461" s="5">
        <v>46237</v>
      </c>
      <c r="C461" t="s">
        <v>565</v>
      </c>
      <c r="D461" t="s">
        <v>23</v>
      </c>
      <c r="E461" t="s">
        <v>78</v>
      </c>
      <c r="F461" t="s">
        <v>32</v>
      </c>
      <c r="G461" t="s">
        <v>79</v>
      </c>
      <c r="H461" t="s">
        <v>37</v>
      </c>
      <c r="I461" t="s">
        <v>48</v>
      </c>
      <c r="J461">
        <v>1068</v>
      </c>
      <c r="K461">
        <v>974</v>
      </c>
      <c r="L461">
        <v>14</v>
      </c>
      <c r="M461">
        <v>7</v>
      </c>
      <c r="N461">
        <v>945</v>
      </c>
      <c r="O461">
        <v>45.8</v>
      </c>
      <c r="P461">
        <v>2.9</v>
      </c>
      <c r="Q461" t="s">
        <v>80</v>
      </c>
      <c r="R461" t="s">
        <v>81</v>
      </c>
      <c r="S461" t="s">
        <v>82</v>
      </c>
      <c r="T461">
        <v>1</v>
      </c>
      <c r="U461">
        <v>3</v>
      </c>
      <c r="V461" s="6">
        <v>407.94</v>
      </c>
      <c r="W461" s="6">
        <v>2600.9</v>
      </c>
      <c r="X461" t="s">
        <v>110</v>
      </c>
      <c r="Y461" s="7">
        <f t="shared" si="49"/>
        <v>1.4373716632443531E-2</v>
      </c>
      <c r="Z461" s="7">
        <f t="shared" si="50"/>
        <v>0.97022587268993843</v>
      </c>
      <c r="AA461">
        <f t="shared" si="51"/>
        <v>94</v>
      </c>
      <c r="AB461" s="8">
        <f t="shared" si="52"/>
        <v>5711.16</v>
      </c>
      <c r="AC461">
        <f t="shared" si="53"/>
        <v>19.5</v>
      </c>
      <c r="AD461" t="str">
        <f t="shared" si="54"/>
        <v>Low</v>
      </c>
      <c r="AE461" t="str">
        <f t="shared" si="55"/>
        <v>No</v>
      </c>
    </row>
    <row r="462" spans="1:31" x14ac:dyDescent="0.35">
      <c r="A462" t="s">
        <v>575</v>
      </c>
      <c r="B462" s="5">
        <v>46237</v>
      </c>
      <c r="C462" t="s">
        <v>565</v>
      </c>
      <c r="D462" t="s">
        <v>25</v>
      </c>
      <c r="E462" t="s">
        <v>89</v>
      </c>
      <c r="F462" t="s">
        <v>30</v>
      </c>
      <c r="G462" t="s">
        <v>85</v>
      </c>
      <c r="H462" t="s">
        <v>40</v>
      </c>
      <c r="I462" t="s">
        <v>47</v>
      </c>
      <c r="J462">
        <v>1369</v>
      </c>
      <c r="K462">
        <v>1355</v>
      </c>
      <c r="L462">
        <v>40</v>
      </c>
      <c r="M462">
        <v>25</v>
      </c>
      <c r="N462">
        <v>1195</v>
      </c>
      <c r="O462">
        <v>33.200000000000003</v>
      </c>
      <c r="P462">
        <v>6.8</v>
      </c>
      <c r="Q462" t="s">
        <v>80</v>
      </c>
      <c r="R462" t="s">
        <v>81</v>
      </c>
      <c r="S462" t="s">
        <v>82</v>
      </c>
      <c r="T462">
        <v>3</v>
      </c>
      <c r="U462">
        <v>0</v>
      </c>
      <c r="V462" s="6">
        <v>439.95</v>
      </c>
      <c r="W462" s="6">
        <v>9750.2199999999993</v>
      </c>
      <c r="X462" t="s">
        <v>110</v>
      </c>
      <c r="Y462" s="7">
        <f t="shared" si="49"/>
        <v>2.9520295202952029E-2</v>
      </c>
      <c r="Z462" s="7">
        <f t="shared" si="50"/>
        <v>0.88191881918819193</v>
      </c>
      <c r="AA462">
        <f t="shared" si="51"/>
        <v>14</v>
      </c>
      <c r="AB462" s="8">
        <f t="shared" si="52"/>
        <v>17598</v>
      </c>
      <c r="AC462">
        <f t="shared" si="53"/>
        <v>43.7</v>
      </c>
      <c r="AD462" t="str">
        <f t="shared" si="54"/>
        <v>Medium</v>
      </c>
      <c r="AE462" t="str">
        <f t="shared" si="55"/>
        <v>No</v>
      </c>
    </row>
    <row r="463" spans="1:31" x14ac:dyDescent="0.35">
      <c r="A463" t="s">
        <v>576</v>
      </c>
      <c r="B463" s="5">
        <v>46237</v>
      </c>
      <c r="C463" t="s">
        <v>565</v>
      </c>
      <c r="D463" t="s">
        <v>24</v>
      </c>
      <c r="E463" t="s">
        <v>78</v>
      </c>
      <c r="F463" t="s">
        <v>29</v>
      </c>
      <c r="G463" t="s">
        <v>85</v>
      </c>
      <c r="H463" t="s">
        <v>40</v>
      </c>
      <c r="I463" t="s">
        <v>45</v>
      </c>
      <c r="J463">
        <v>1133</v>
      </c>
      <c r="K463">
        <v>1144</v>
      </c>
      <c r="L463">
        <v>32</v>
      </c>
      <c r="M463">
        <v>17</v>
      </c>
      <c r="N463">
        <v>1011</v>
      </c>
      <c r="O463">
        <v>58.7</v>
      </c>
      <c r="P463">
        <v>9.8000000000000007</v>
      </c>
      <c r="Q463" t="s">
        <v>80</v>
      </c>
      <c r="R463" t="s">
        <v>81</v>
      </c>
      <c r="S463" t="s">
        <v>138</v>
      </c>
      <c r="T463">
        <v>15</v>
      </c>
      <c r="U463">
        <v>0</v>
      </c>
      <c r="V463" s="6">
        <v>426</v>
      </c>
      <c r="W463" s="6">
        <v>9438.33</v>
      </c>
      <c r="X463" t="s">
        <v>121</v>
      </c>
      <c r="Y463" s="7">
        <f t="shared" si="49"/>
        <v>2.7972027972027972E-2</v>
      </c>
      <c r="Z463" s="7">
        <f t="shared" si="50"/>
        <v>0.88374125874125875</v>
      </c>
      <c r="AA463">
        <f t="shared" si="51"/>
        <v>-11</v>
      </c>
      <c r="AB463" s="8">
        <f t="shared" si="52"/>
        <v>13632</v>
      </c>
      <c r="AC463">
        <f t="shared" si="53"/>
        <v>57.9</v>
      </c>
      <c r="AD463" t="str">
        <f t="shared" si="54"/>
        <v>Medium</v>
      </c>
      <c r="AE463" t="str">
        <f t="shared" si="55"/>
        <v>Yes</v>
      </c>
    </row>
    <row r="464" spans="1:31" x14ac:dyDescent="0.35">
      <c r="A464" t="s">
        <v>577</v>
      </c>
      <c r="B464" s="5">
        <v>46237</v>
      </c>
      <c r="C464" t="s">
        <v>565</v>
      </c>
      <c r="D464" t="s">
        <v>25</v>
      </c>
      <c r="E464" t="s">
        <v>89</v>
      </c>
      <c r="F464" t="s">
        <v>32</v>
      </c>
      <c r="G464" t="s">
        <v>79</v>
      </c>
      <c r="H464" t="s">
        <v>40</v>
      </c>
      <c r="I464" t="s">
        <v>46</v>
      </c>
      <c r="J464">
        <v>922</v>
      </c>
      <c r="K464">
        <v>806</v>
      </c>
      <c r="L464">
        <v>11</v>
      </c>
      <c r="M464">
        <v>6</v>
      </c>
      <c r="N464">
        <v>759</v>
      </c>
      <c r="O464">
        <v>62.3</v>
      </c>
      <c r="P464">
        <v>3.9</v>
      </c>
      <c r="Q464" t="s">
        <v>80</v>
      </c>
      <c r="R464" t="s">
        <v>81</v>
      </c>
      <c r="S464" t="s">
        <v>82</v>
      </c>
      <c r="T464">
        <v>6</v>
      </c>
      <c r="U464">
        <v>1</v>
      </c>
      <c r="V464" s="6">
        <v>195.27</v>
      </c>
      <c r="W464" s="6">
        <v>1185.48</v>
      </c>
      <c r="X464" t="s">
        <v>83</v>
      </c>
      <c r="Y464" s="7">
        <f t="shared" si="49"/>
        <v>1.3647642679900745E-2</v>
      </c>
      <c r="Z464" s="7">
        <f t="shared" si="50"/>
        <v>0.94168734491315131</v>
      </c>
      <c r="AA464">
        <f t="shared" si="51"/>
        <v>116</v>
      </c>
      <c r="AB464" s="8">
        <f t="shared" si="52"/>
        <v>2147.9700000000003</v>
      </c>
      <c r="AC464">
        <f t="shared" si="53"/>
        <v>21.3</v>
      </c>
      <c r="AD464" t="str">
        <f t="shared" si="54"/>
        <v>Low</v>
      </c>
      <c r="AE464" t="str">
        <f t="shared" si="55"/>
        <v>No</v>
      </c>
    </row>
    <row r="465" spans="1:31" x14ac:dyDescent="0.35">
      <c r="A465" t="s">
        <v>578</v>
      </c>
      <c r="B465" s="5">
        <v>46237</v>
      </c>
      <c r="C465" t="s">
        <v>565</v>
      </c>
      <c r="D465" t="s">
        <v>20</v>
      </c>
      <c r="E465" t="s">
        <v>78</v>
      </c>
      <c r="F465" t="s">
        <v>32</v>
      </c>
      <c r="G465" t="s">
        <v>85</v>
      </c>
      <c r="H465" t="s">
        <v>37</v>
      </c>
      <c r="I465" t="s">
        <v>42</v>
      </c>
      <c r="J465">
        <v>950</v>
      </c>
      <c r="K465">
        <v>951</v>
      </c>
      <c r="L465">
        <v>9</v>
      </c>
      <c r="M465">
        <v>4</v>
      </c>
      <c r="N465">
        <v>875</v>
      </c>
      <c r="O465">
        <v>28.5</v>
      </c>
      <c r="P465">
        <v>14</v>
      </c>
      <c r="Q465" t="s">
        <v>80</v>
      </c>
      <c r="R465" t="s">
        <v>81</v>
      </c>
      <c r="S465" t="s">
        <v>82</v>
      </c>
      <c r="T465">
        <v>0</v>
      </c>
      <c r="U465">
        <v>2</v>
      </c>
      <c r="V465" s="6">
        <v>437.43</v>
      </c>
      <c r="W465" s="6">
        <v>1831.52</v>
      </c>
      <c r="X465" t="s">
        <v>94</v>
      </c>
      <c r="Y465" s="7">
        <f t="shared" si="49"/>
        <v>9.4637223974763408E-3</v>
      </c>
      <c r="Z465" s="7">
        <f t="shared" si="50"/>
        <v>0.92008412197686651</v>
      </c>
      <c r="AA465">
        <f t="shared" si="51"/>
        <v>-1</v>
      </c>
      <c r="AB465" s="8">
        <f t="shared" si="52"/>
        <v>3936.87</v>
      </c>
      <c r="AC465">
        <f t="shared" si="53"/>
        <v>31.3</v>
      </c>
      <c r="AD465" t="str">
        <f t="shared" si="54"/>
        <v>Low</v>
      </c>
      <c r="AE465" t="str">
        <f t="shared" si="55"/>
        <v>No</v>
      </c>
    </row>
    <row r="466" spans="1:31" x14ac:dyDescent="0.35">
      <c r="A466" t="s">
        <v>579</v>
      </c>
      <c r="B466" s="5">
        <v>46237</v>
      </c>
      <c r="C466" t="s">
        <v>565</v>
      </c>
      <c r="D466" t="s">
        <v>24</v>
      </c>
      <c r="E466" t="s">
        <v>78</v>
      </c>
      <c r="F466" t="s">
        <v>30</v>
      </c>
      <c r="G466" t="s">
        <v>85</v>
      </c>
      <c r="H466" t="s">
        <v>40</v>
      </c>
      <c r="I466" t="s">
        <v>45</v>
      </c>
      <c r="J466">
        <v>1168</v>
      </c>
      <c r="K466">
        <v>1101</v>
      </c>
      <c r="L466">
        <v>27</v>
      </c>
      <c r="M466">
        <v>17</v>
      </c>
      <c r="N466">
        <v>1047</v>
      </c>
      <c r="O466">
        <v>19.7</v>
      </c>
      <c r="P466">
        <v>3.4</v>
      </c>
      <c r="Q466" t="s">
        <v>86</v>
      </c>
      <c r="R466" t="s">
        <v>81</v>
      </c>
      <c r="S466" t="s">
        <v>82</v>
      </c>
      <c r="T466">
        <v>8</v>
      </c>
      <c r="U466">
        <v>3</v>
      </c>
      <c r="V466" s="6">
        <v>273.75</v>
      </c>
      <c r="W466" s="6">
        <v>2807.47</v>
      </c>
      <c r="X466" t="s">
        <v>94</v>
      </c>
      <c r="Y466" s="7">
        <f t="shared" si="49"/>
        <v>2.4523160762942781E-2</v>
      </c>
      <c r="Z466" s="7">
        <f t="shared" si="50"/>
        <v>0.95095367847411449</v>
      </c>
      <c r="AA466">
        <f t="shared" si="51"/>
        <v>67</v>
      </c>
      <c r="AB466" s="8">
        <f t="shared" si="52"/>
        <v>7391.25</v>
      </c>
      <c r="AC466">
        <f t="shared" si="53"/>
        <v>49.2</v>
      </c>
      <c r="AD466" t="str">
        <f t="shared" si="54"/>
        <v>Medium</v>
      </c>
      <c r="AE466" t="str">
        <f t="shared" si="55"/>
        <v>Yes</v>
      </c>
    </row>
    <row r="467" spans="1:31" x14ac:dyDescent="0.35">
      <c r="A467" t="s">
        <v>580</v>
      </c>
      <c r="B467" s="5">
        <v>46244</v>
      </c>
      <c r="C467" t="s">
        <v>565</v>
      </c>
      <c r="D467" t="s">
        <v>25</v>
      </c>
      <c r="E467" t="s">
        <v>89</v>
      </c>
      <c r="F467" t="s">
        <v>30</v>
      </c>
      <c r="G467" t="s">
        <v>79</v>
      </c>
      <c r="H467" t="s">
        <v>40</v>
      </c>
      <c r="I467" t="s">
        <v>44</v>
      </c>
      <c r="J467">
        <v>1495</v>
      </c>
      <c r="K467">
        <v>1372</v>
      </c>
      <c r="L467">
        <v>28</v>
      </c>
      <c r="M467">
        <v>18</v>
      </c>
      <c r="N467">
        <v>1241</v>
      </c>
      <c r="O467">
        <v>55.2</v>
      </c>
      <c r="P467">
        <v>2</v>
      </c>
      <c r="Q467" t="s">
        <v>86</v>
      </c>
      <c r="R467" t="s">
        <v>81</v>
      </c>
      <c r="S467" t="s">
        <v>82</v>
      </c>
      <c r="T467">
        <v>7</v>
      </c>
      <c r="U467">
        <v>4</v>
      </c>
      <c r="V467" s="6">
        <v>88.78</v>
      </c>
      <c r="W467" s="6">
        <v>1819.29</v>
      </c>
      <c r="X467" t="s">
        <v>83</v>
      </c>
      <c r="Y467" s="7">
        <f t="shared" si="49"/>
        <v>2.0408163265306121E-2</v>
      </c>
      <c r="Z467" s="7">
        <f t="shared" si="50"/>
        <v>0.90451895043731778</v>
      </c>
      <c r="AA467">
        <f t="shared" si="51"/>
        <v>123</v>
      </c>
      <c r="AB467" s="8">
        <f t="shared" si="52"/>
        <v>2485.84</v>
      </c>
      <c r="AC467">
        <f t="shared" si="53"/>
        <v>45.3</v>
      </c>
      <c r="AD467" t="str">
        <f t="shared" si="54"/>
        <v>Medium</v>
      </c>
      <c r="AE467" t="str">
        <f t="shared" si="55"/>
        <v>Yes</v>
      </c>
    </row>
    <row r="468" spans="1:31" x14ac:dyDescent="0.35">
      <c r="A468" t="s">
        <v>581</v>
      </c>
      <c r="B468" s="5">
        <v>46244</v>
      </c>
      <c r="C468" t="s">
        <v>565</v>
      </c>
      <c r="D468" t="s">
        <v>22</v>
      </c>
      <c r="E468" t="s">
        <v>93</v>
      </c>
      <c r="F468" t="s">
        <v>32</v>
      </c>
      <c r="G468" t="s">
        <v>85</v>
      </c>
      <c r="H468" t="s">
        <v>36</v>
      </c>
      <c r="I468" t="s">
        <v>48</v>
      </c>
      <c r="J468">
        <v>1045</v>
      </c>
      <c r="K468">
        <v>995</v>
      </c>
      <c r="L468">
        <v>28</v>
      </c>
      <c r="M468">
        <v>17</v>
      </c>
      <c r="N468">
        <v>966</v>
      </c>
      <c r="O468">
        <v>34.200000000000003</v>
      </c>
      <c r="P468">
        <v>1.1000000000000001</v>
      </c>
      <c r="Q468" t="s">
        <v>80</v>
      </c>
      <c r="R468" t="s">
        <v>81</v>
      </c>
      <c r="S468" t="s">
        <v>100</v>
      </c>
      <c r="T468">
        <v>8</v>
      </c>
      <c r="U468">
        <v>1</v>
      </c>
      <c r="V468" s="6">
        <v>446.5</v>
      </c>
      <c r="W468" s="6">
        <v>4572.53</v>
      </c>
      <c r="X468" t="s">
        <v>94</v>
      </c>
      <c r="Y468" s="7">
        <f t="shared" si="49"/>
        <v>2.8140703517587941E-2</v>
      </c>
      <c r="Z468" s="7">
        <f t="shared" si="50"/>
        <v>0.97085427135678393</v>
      </c>
      <c r="AA468">
        <f t="shared" si="51"/>
        <v>50</v>
      </c>
      <c r="AB468" s="8">
        <f t="shared" si="52"/>
        <v>12502</v>
      </c>
      <c r="AC468">
        <f t="shared" si="53"/>
        <v>30.9</v>
      </c>
      <c r="AD468" t="str">
        <f t="shared" si="54"/>
        <v>Low</v>
      </c>
      <c r="AE468" t="str">
        <f t="shared" si="55"/>
        <v>No</v>
      </c>
    </row>
    <row r="469" spans="1:31" x14ac:dyDescent="0.35">
      <c r="A469" t="s">
        <v>582</v>
      </c>
      <c r="B469" s="5">
        <v>46244</v>
      </c>
      <c r="C469" t="s">
        <v>565</v>
      </c>
      <c r="D469" t="s">
        <v>23</v>
      </c>
      <c r="E469" t="s">
        <v>78</v>
      </c>
      <c r="F469" t="s">
        <v>30</v>
      </c>
      <c r="G469" t="s">
        <v>90</v>
      </c>
      <c r="H469" t="s">
        <v>34</v>
      </c>
      <c r="I469" t="s">
        <v>47</v>
      </c>
      <c r="J469">
        <v>794</v>
      </c>
      <c r="K469">
        <v>687</v>
      </c>
      <c r="L469">
        <v>13</v>
      </c>
      <c r="M469">
        <v>6</v>
      </c>
      <c r="N469">
        <v>618</v>
      </c>
      <c r="O469">
        <v>59.6</v>
      </c>
      <c r="P469">
        <v>15.1</v>
      </c>
      <c r="Q469" t="s">
        <v>80</v>
      </c>
      <c r="R469" t="s">
        <v>81</v>
      </c>
      <c r="S469" t="s">
        <v>82</v>
      </c>
      <c r="T469">
        <v>2</v>
      </c>
      <c r="U469">
        <v>2</v>
      </c>
      <c r="V469" s="6">
        <v>439</v>
      </c>
      <c r="W469" s="6">
        <v>1833.29</v>
      </c>
      <c r="X469" t="s">
        <v>94</v>
      </c>
      <c r="Y469" s="7">
        <f t="shared" si="49"/>
        <v>1.8922852983988356E-2</v>
      </c>
      <c r="Z469" s="7">
        <f t="shared" si="50"/>
        <v>0.89956331877729256</v>
      </c>
      <c r="AA469">
        <f t="shared" si="51"/>
        <v>107</v>
      </c>
      <c r="AB469" s="8">
        <f t="shared" si="52"/>
        <v>5707</v>
      </c>
      <c r="AC469">
        <f t="shared" si="53"/>
        <v>43.1</v>
      </c>
      <c r="AD469" t="str">
        <f t="shared" si="54"/>
        <v>Medium</v>
      </c>
      <c r="AE469" t="str">
        <f t="shared" si="55"/>
        <v>No</v>
      </c>
    </row>
    <row r="470" spans="1:31" x14ac:dyDescent="0.35">
      <c r="A470" t="s">
        <v>583</v>
      </c>
      <c r="B470" s="5">
        <v>46244</v>
      </c>
      <c r="C470" t="s">
        <v>565</v>
      </c>
      <c r="D470" t="s">
        <v>24</v>
      </c>
      <c r="E470" t="s">
        <v>78</v>
      </c>
      <c r="F470" t="s">
        <v>30</v>
      </c>
      <c r="G470" t="s">
        <v>85</v>
      </c>
      <c r="H470" t="s">
        <v>37</v>
      </c>
      <c r="I470" t="s">
        <v>44</v>
      </c>
      <c r="J470">
        <v>797</v>
      </c>
      <c r="K470">
        <v>803</v>
      </c>
      <c r="L470">
        <v>9</v>
      </c>
      <c r="M470">
        <v>7</v>
      </c>
      <c r="N470">
        <v>786</v>
      </c>
      <c r="O470">
        <v>50.3</v>
      </c>
      <c r="P470">
        <v>5</v>
      </c>
      <c r="Q470" t="s">
        <v>86</v>
      </c>
      <c r="R470" t="s">
        <v>81</v>
      </c>
      <c r="S470" t="s">
        <v>82</v>
      </c>
      <c r="T470">
        <v>4</v>
      </c>
      <c r="U470">
        <v>1</v>
      </c>
      <c r="V470" s="6">
        <v>252.88</v>
      </c>
      <c r="W470" s="6">
        <v>699.38</v>
      </c>
      <c r="X470" t="s">
        <v>87</v>
      </c>
      <c r="Y470" s="7">
        <f t="shared" si="49"/>
        <v>1.1207970112079701E-2</v>
      </c>
      <c r="Z470" s="7">
        <f t="shared" si="50"/>
        <v>0.97882938978829392</v>
      </c>
      <c r="AA470">
        <f t="shared" si="51"/>
        <v>-6</v>
      </c>
      <c r="AB470" s="8">
        <f t="shared" si="52"/>
        <v>2275.92</v>
      </c>
      <c r="AC470">
        <f t="shared" si="53"/>
        <v>36.700000000000003</v>
      </c>
      <c r="AD470" t="str">
        <f t="shared" si="54"/>
        <v>Low</v>
      </c>
      <c r="AE470" t="str">
        <f t="shared" si="55"/>
        <v>Yes</v>
      </c>
    </row>
    <row r="471" spans="1:31" x14ac:dyDescent="0.35">
      <c r="A471" t="s">
        <v>584</v>
      </c>
      <c r="B471" s="5">
        <v>46244</v>
      </c>
      <c r="C471" t="s">
        <v>565</v>
      </c>
      <c r="D471" t="s">
        <v>22</v>
      </c>
      <c r="E471" t="s">
        <v>93</v>
      </c>
      <c r="F471" t="s">
        <v>29</v>
      </c>
      <c r="G471" t="s">
        <v>85</v>
      </c>
      <c r="H471" t="s">
        <v>39</v>
      </c>
      <c r="I471" t="s">
        <v>45</v>
      </c>
      <c r="J471">
        <v>995</v>
      </c>
      <c r="K471">
        <v>928</v>
      </c>
      <c r="L471">
        <v>18</v>
      </c>
      <c r="M471">
        <v>10</v>
      </c>
      <c r="N471">
        <v>846</v>
      </c>
      <c r="O471">
        <v>65</v>
      </c>
      <c r="P471">
        <v>9.6</v>
      </c>
      <c r="Q471" t="s">
        <v>80</v>
      </c>
      <c r="R471" t="s">
        <v>81</v>
      </c>
      <c r="S471" t="s">
        <v>138</v>
      </c>
      <c r="T471">
        <v>1</v>
      </c>
      <c r="U471">
        <v>3</v>
      </c>
      <c r="V471" s="6">
        <v>419.15</v>
      </c>
      <c r="W471" s="6">
        <v>5096.6000000000004</v>
      </c>
      <c r="X471" t="s">
        <v>94</v>
      </c>
      <c r="Y471" s="7">
        <f t="shared" si="49"/>
        <v>1.9396551724137932E-2</v>
      </c>
      <c r="Z471" s="7">
        <f t="shared" si="50"/>
        <v>0.91163793103448276</v>
      </c>
      <c r="AA471">
        <f t="shared" si="51"/>
        <v>67</v>
      </c>
      <c r="AB471" s="8">
        <f t="shared" si="52"/>
        <v>7544.7</v>
      </c>
      <c r="AC471">
        <f t="shared" si="53"/>
        <v>47.9</v>
      </c>
      <c r="AD471" t="str">
        <f t="shared" si="54"/>
        <v>Medium</v>
      </c>
      <c r="AE471" t="str">
        <f t="shared" si="55"/>
        <v>Yes</v>
      </c>
    </row>
    <row r="472" spans="1:31" x14ac:dyDescent="0.35">
      <c r="A472" t="s">
        <v>585</v>
      </c>
      <c r="B472" s="5">
        <v>46244</v>
      </c>
      <c r="C472" t="s">
        <v>565</v>
      </c>
      <c r="D472" t="s">
        <v>25</v>
      </c>
      <c r="E472" t="s">
        <v>89</v>
      </c>
      <c r="F472" t="s">
        <v>31</v>
      </c>
      <c r="G472" t="s">
        <v>79</v>
      </c>
      <c r="H472" t="s">
        <v>39</v>
      </c>
      <c r="I472" t="s">
        <v>47</v>
      </c>
      <c r="J472">
        <v>800</v>
      </c>
      <c r="K472">
        <v>780</v>
      </c>
      <c r="L472">
        <v>20</v>
      </c>
      <c r="M472">
        <v>7</v>
      </c>
      <c r="N472">
        <v>724</v>
      </c>
      <c r="O472">
        <v>67.5</v>
      </c>
      <c r="P472">
        <v>7.6</v>
      </c>
      <c r="Q472" t="s">
        <v>80</v>
      </c>
      <c r="R472" t="s">
        <v>81</v>
      </c>
      <c r="S472" t="s">
        <v>82</v>
      </c>
      <c r="T472">
        <v>2</v>
      </c>
      <c r="U472">
        <v>1</v>
      </c>
      <c r="V472" s="6">
        <v>290.19</v>
      </c>
      <c r="W472" s="6">
        <v>3246.72</v>
      </c>
      <c r="X472" t="s">
        <v>94</v>
      </c>
      <c r="Y472" s="7">
        <f t="shared" si="49"/>
        <v>2.564102564102564E-2</v>
      </c>
      <c r="Z472" s="7">
        <f t="shared" si="50"/>
        <v>0.92820512820512824</v>
      </c>
      <c r="AA472">
        <f t="shared" si="51"/>
        <v>20</v>
      </c>
      <c r="AB472" s="8">
        <f t="shared" si="52"/>
        <v>5803.8</v>
      </c>
      <c r="AC472">
        <f t="shared" si="53"/>
        <v>38.799999999999997</v>
      </c>
      <c r="AD472" t="str">
        <f t="shared" si="54"/>
        <v>Low</v>
      </c>
      <c r="AE472" t="str">
        <f t="shared" si="55"/>
        <v>No</v>
      </c>
    </row>
    <row r="473" spans="1:31" x14ac:dyDescent="0.35">
      <c r="A473" t="s">
        <v>586</v>
      </c>
      <c r="B473" s="5">
        <v>46244</v>
      </c>
      <c r="C473" t="s">
        <v>565</v>
      </c>
      <c r="D473" t="s">
        <v>24</v>
      </c>
      <c r="E473" t="s">
        <v>78</v>
      </c>
      <c r="F473" t="s">
        <v>30</v>
      </c>
      <c r="G473" t="s">
        <v>90</v>
      </c>
      <c r="H473" t="s">
        <v>38</v>
      </c>
      <c r="I473" t="s">
        <v>48</v>
      </c>
      <c r="J473">
        <v>1041</v>
      </c>
      <c r="K473">
        <v>1022</v>
      </c>
      <c r="L473">
        <v>33</v>
      </c>
      <c r="M473">
        <v>20</v>
      </c>
      <c r="N473">
        <v>952</v>
      </c>
      <c r="O473">
        <v>66.3</v>
      </c>
      <c r="P473">
        <v>10.6</v>
      </c>
      <c r="Q473" t="s">
        <v>80</v>
      </c>
      <c r="R473" t="s">
        <v>81</v>
      </c>
      <c r="S473" t="s">
        <v>82</v>
      </c>
      <c r="T473">
        <v>2</v>
      </c>
      <c r="U473">
        <v>0</v>
      </c>
      <c r="V473" s="6">
        <v>179.4</v>
      </c>
      <c r="W473" s="6">
        <v>3500.35</v>
      </c>
      <c r="X473" t="s">
        <v>83</v>
      </c>
      <c r="Y473" s="7">
        <f t="shared" si="49"/>
        <v>3.2289628180039137E-2</v>
      </c>
      <c r="Z473" s="7">
        <f t="shared" si="50"/>
        <v>0.93150684931506844</v>
      </c>
      <c r="AA473">
        <f t="shared" si="51"/>
        <v>19</v>
      </c>
      <c r="AB473" s="8">
        <f t="shared" si="52"/>
        <v>5920.2</v>
      </c>
      <c r="AC473">
        <f t="shared" si="53"/>
        <v>49.2</v>
      </c>
      <c r="AD473" t="str">
        <f t="shared" si="54"/>
        <v>Medium</v>
      </c>
      <c r="AE473" t="str">
        <f t="shared" si="55"/>
        <v>No</v>
      </c>
    </row>
    <row r="474" spans="1:31" x14ac:dyDescent="0.35">
      <c r="A474" t="s">
        <v>587</v>
      </c>
      <c r="B474" s="5">
        <v>46244</v>
      </c>
      <c r="C474" t="s">
        <v>565</v>
      </c>
      <c r="D474" t="s">
        <v>23</v>
      </c>
      <c r="E474" t="s">
        <v>78</v>
      </c>
      <c r="F474" t="s">
        <v>29</v>
      </c>
      <c r="G474" t="s">
        <v>90</v>
      </c>
      <c r="H474" t="s">
        <v>34</v>
      </c>
      <c r="I474" t="s">
        <v>45</v>
      </c>
      <c r="J474">
        <v>823</v>
      </c>
      <c r="K474">
        <v>688</v>
      </c>
      <c r="L474">
        <v>12</v>
      </c>
      <c r="M474">
        <v>8</v>
      </c>
      <c r="N474">
        <v>633</v>
      </c>
      <c r="O474">
        <v>58.6</v>
      </c>
      <c r="P474">
        <v>2.8</v>
      </c>
      <c r="Q474" t="s">
        <v>80</v>
      </c>
      <c r="R474" t="s">
        <v>81</v>
      </c>
      <c r="S474" t="s">
        <v>138</v>
      </c>
      <c r="T474">
        <v>2</v>
      </c>
      <c r="U474">
        <v>2</v>
      </c>
      <c r="V474" s="6">
        <v>48.33</v>
      </c>
      <c r="W474" s="6">
        <v>192.51</v>
      </c>
      <c r="X474" t="s">
        <v>94</v>
      </c>
      <c r="Y474" s="7">
        <f t="shared" si="49"/>
        <v>1.7441860465116279E-2</v>
      </c>
      <c r="Z474" s="7">
        <f t="shared" si="50"/>
        <v>0.92005813953488369</v>
      </c>
      <c r="AA474">
        <f t="shared" si="51"/>
        <v>135</v>
      </c>
      <c r="AB474" s="8">
        <f t="shared" si="52"/>
        <v>579.96</v>
      </c>
      <c r="AC474">
        <f t="shared" si="53"/>
        <v>36.700000000000003</v>
      </c>
      <c r="AD474" t="str">
        <f t="shared" si="54"/>
        <v>Low</v>
      </c>
      <c r="AE474" t="str">
        <f t="shared" si="55"/>
        <v>Yes</v>
      </c>
    </row>
    <row r="475" spans="1:31" x14ac:dyDescent="0.35">
      <c r="A475" t="s">
        <v>588</v>
      </c>
      <c r="B475" s="5">
        <v>46244</v>
      </c>
      <c r="C475" t="s">
        <v>565</v>
      </c>
      <c r="D475" t="s">
        <v>25</v>
      </c>
      <c r="E475" t="s">
        <v>89</v>
      </c>
      <c r="F475" t="s">
        <v>27</v>
      </c>
      <c r="G475" t="s">
        <v>85</v>
      </c>
      <c r="H475" t="s">
        <v>37</v>
      </c>
      <c r="I475" t="s">
        <v>42</v>
      </c>
      <c r="J475">
        <v>1507</v>
      </c>
      <c r="K475">
        <v>1315</v>
      </c>
      <c r="L475">
        <v>30</v>
      </c>
      <c r="M475">
        <v>20</v>
      </c>
      <c r="N475">
        <v>1182</v>
      </c>
      <c r="O475">
        <v>58.5</v>
      </c>
      <c r="P475">
        <v>0</v>
      </c>
      <c r="Q475" t="s">
        <v>80</v>
      </c>
      <c r="R475" t="s">
        <v>81</v>
      </c>
      <c r="S475" t="s">
        <v>82</v>
      </c>
      <c r="T475">
        <v>6</v>
      </c>
      <c r="U475">
        <v>3</v>
      </c>
      <c r="V475" s="6">
        <v>83.74</v>
      </c>
      <c r="W475" s="6">
        <v>925.46</v>
      </c>
      <c r="X475" t="s">
        <v>115</v>
      </c>
      <c r="Y475" s="7">
        <f t="shared" si="49"/>
        <v>2.2813688212927757E-2</v>
      </c>
      <c r="Z475" s="7">
        <f t="shared" si="50"/>
        <v>0.89885931558935361</v>
      </c>
      <c r="AA475">
        <f t="shared" si="51"/>
        <v>192</v>
      </c>
      <c r="AB475" s="8">
        <f t="shared" si="52"/>
        <v>2512.1999999999998</v>
      </c>
      <c r="AC475">
        <f t="shared" si="53"/>
        <v>27.4</v>
      </c>
      <c r="AD475" t="str">
        <f t="shared" si="54"/>
        <v>Low</v>
      </c>
      <c r="AE475" t="str">
        <f t="shared" si="55"/>
        <v>No</v>
      </c>
    </row>
    <row r="476" spans="1:31" x14ac:dyDescent="0.35">
      <c r="A476" t="s">
        <v>589</v>
      </c>
      <c r="B476" s="5">
        <v>46244</v>
      </c>
      <c r="C476" t="s">
        <v>565</v>
      </c>
      <c r="D476" t="s">
        <v>22</v>
      </c>
      <c r="E476" t="s">
        <v>93</v>
      </c>
      <c r="F476" t="s">
        <v>27</v>
      </c>
      <c r="G476" t="s">
        <v>79</v>
      </c>
      <c r="H476" t="s">
        <v>34</v>
      </c>
      <c r="I476" t="s">
        <v>45</v>
      </c>
      <c r="J476">
        <v>1229</v>
      </c>
      <c r="K476">
        <v>1162</v>
      </c>
      <c r="L476">
        <v>18</v>
      </c>
      <c r="M476">
        <v>14</v>
      </c>
      <c r="N476">
        <v>1160</v>
      </c>
      <c r="O476">
        <v>41.3</v>
      </c>
      <c r="P476">
        <v>7</v>
      </c>
      <c r="Q476" t="s">
        <v>80</v>
      </c>
      <c r="R476" t="s">
        <v>81</v>
      </c>
      <c r="S476" t="s">
        <v>100</v>
      </c>
      <c r="T476">
        <v>3</v>
      </c>
      <c r="U476">
        <v>1</v>
      </c>
      <c r="V476" s="6">
        <v>142.46</v>
      </c>
      <c r="W476" s="6">
        <v>1664.94</v>
      </c>
      <c r="X476" t="s">
        <v>83</v>
      </c>
      <c r="Y476" s="7">
        <f t="shared" si="49"/>
        <v>1.549053356282272E-2</v>
      </c>
      <c r="Z476" s="7">
        <f t="shared" si="50"/>
        <v>0.99827882960413084</v>
      </c>
      <c r="AA476">
        <f t="shared" si="51"/>
        <v>67</v>
      </c>
      <c r="AB476" s="8">
        <f t="shared" si="52"/>
        <v>2564.2800000000002</v>
      </c>
      <c r="AC476">
        <f t="shared" si="53"/>
        <v>24.7</v>
      </c>
      <c r="AD476" t="str">
        <f t="shared" si="54"/>
        <v>Low</v>
      </c>
      <c r="AE476" t="str">
        <f t="shared" si="55"/>
        <v>No</v>
      </c>
    </row>
    <row r="477" spans="1:31" x14ac:dyDescent="0.35">
      <c r="A477" t="s">
        <v>590</v>
      </c>
      <c r="B477" s="5">
        <v>46244</v>
      </c>
      <c r="C477" t="s">
        <v>565</v>
      </c>
      <c r="D477" t="s">
        <v>22</v>
      </c>
      <c r="E477" t="s">
        <v>93</v>
      </c>
      <c r="F477" t="s">
        <v>31</v>
      </c>
      <c r="G477" t="s">
        <v>90</v>
      </c>
      <c r="H477" t="s">
        <v>39</v>
      </c>
      <c r="I477" t="s">
        <v>48</v>
      </c>
      <c r="J477">
        <v>895</v>
      </c>
      <c r="K477">
        <v>847</v>
      </c>
      <c r="L477">
        <v>24</v>
      </c>
      <c r="M477">
        <v>20</v>
      </c>
      <c r="N477">
        <v>791</v>
      </c>
      <c r="O477">
        <v>65.599999999999994</v>
      </c>
      <c r="P477">
        <v>7.2</v>
      </c>
      <c r="Q477" t="s">
        <v>80</v>
      </c>
      <c r="R477" t="s">
        <v>81</v>
      </c>
      <c r="S477" t="s">
        <v>82</v>
      </c>
      <c r="T477">
        <v>5</v>
      </c>
      <c r="U477">
        <v>0</v>
      </c>
      <c r="V477" s="6">
        <v>67.56</v>
      </c>
      <c r="W477" s="6">
        <v>1098.9000000000001</v>
      </c>
      <c r="X477" t="s">
        <v>94</v>
      </c>
      <c r="Y477" s="7">
        <f t="shared" si="49"/>
        <v>2.833530106257379E-2</v>
      </c>
      <c r="Z477" s="7">
        <f t="shared" si="50"/>
        <v>0.93388429752066116</v>
      </c>
      <c r="AA477">
        <f t="shared" si="51"/>
        <v>48</v>
      </c>
      <c r="AB477" s="8">
        <f t="shared" si="52"/>
        <v>1621.44</v>
      </c>
      <c r="AC477">
        <f t="shared" si="53"/>
        <v>40.700000000000003</v>
      </c>
      <c r="AD477" t="str">
        <f t="shared" si="54"/>
        <v>Medium</v>
      </c>
      <c r="AE477" t="str">
        <f t="shared" si="55"/>
        <v>No</v>
      </c>
    </row>
    <row r="478" spans="1:31" x14ac:dyDescent="0.35">
      <c r="A478" t="s">
        <v>591</v>
      </c>
      <c r="B478" s="5">
        <v>46244</v>
      </c>
      <c r="C478" t="s">
        <v>565</v>
      </c>
      <c r="D478" t="s">
        <v>25</v>
      </c>
      <c r="E478" t="s">
        <v>89</v>
      </c>
      <c r="F478" t="s">
        <v>32</v>
      </c>
      <c r="G478" t="s">
        <v>79</v>
      </c>
      <c r="H478" t="s">
        <v>40</v>
      </c>
      <c r="I478" t="s">
        <v>48</v>
      </c>
      <c r="J478">
        <v>1301</v>
      </c>
      <c r="K478">
        <v>1225</v>
      </c>
      <c r="L478">
        <v>36</v>
      </c>
      <c r="M478">
        <v>21</v>
      </c>
      <c r="N478">
        <v>1156</v>
      </c>
      <c r="O478">
        <v>32.6</v>
      </c>
      <c r="P478">
        <v>7.9</v>
      </c>
      <c r="Q478" t="s">
        <v>80</v>
      </c>
      <c r="R478" t="s">
        <v>81</v>
      </c>
      <c r="S478" t="s">
        <v>82</v>
      </c>
      <c r="T478">
        <v>11</v>
      </c>
      <c r="U478">
        <v>2</v>
      </c>
      <c r="V478" s="6">
        <v>120.67</v>
      </c>
      <c r="W478" s="6">
        <v>1217.73</v>
      </c>
      <c r="X478" t="s">
        <v>94</v>
      </c>
      <c r="Y478" s="7">
        <f t="shared" si="49"/>
        <v>2.9387755102040815E-2</v>
      </c>
      <c r="Z478" s="7">
        <f t="shared" si="50"/>
        <v>0.94367346938775509</v>
      </c>
      <c r="AA478">
        <f t="shared" si="51"/>
        <v>76</v>
      </c>
      <c r="AB478" s="8">
        <f t="shared" si="52"/>
        <v>4344.12</v>
      </c>
      <c r="AC478">
        <f t="shared" si="53"/>
        <v>42.2</v>
      </c>
      <c r="AD478" t="str">
        <f t="shared" si="54"/>
        <v>Medium</v>
      </c>
      <c r="AE478" t="str">
        <f t="shared" si="55"/>
        <v>No</v>
      </c>
    </row>
    <row r="479" spans="1:31" x14ac:dyDescent="0.35">
      <c r="A479" t="s">
        <v>592</v>
      </c>
      <c r="B479" s="5">
        <v>46244</v>
      </c>
      <c r="C479" t="s">
        <v>565</v>
      </c>
      <c r="D479" t="s">
        <v>22</v>
      </c>
      <c r="E479" t="s">
        <v>93</v>
      </c>
      <c r="F479" t="s">
        <v>32</v>
      </c>
      <c r="G479" t="s">
        <v>90</v>
      </c>
      <c r="H479" t="s">
        <v>36</v>
      </c>
      <c r="I479" t="s">
        <v>47</v>
      </c>
      <c r="J479">
        <v>1517</v>
      </c>
      <c r="K479">
        <v>1291</v>
      </c>
      <c r="L479">
        <v>47</v>
      </c>
      <c r="M479">
        <v>39</v>
      </c>
      <c r="N479">
        <v>1215</v>
      </c>
      <c r="O479">
        <v>74.2</v>
      </c>
      <c r="P479">
        <v>17.2</v>
      </c>
      <c r="Q479" t="s">
        <v>80</v>
      </c>
      <c r="R479" t="s">
        <v>81</v>
      </c>
      <c r="S479" t="s">
        <v>82</v>
      </c>
      <c r="T479">
        <v>10</v>
      </c>
      <c r="U479">
        <v>3</v>
      </c>
      <c r="V479" s="6">
        <v>444.29</v>
      </c>
      <c r="W479" s="6">
        <v>15922.76</v>
      </c>
      <c r="X479" t="s">
        <v>94</v>
      </c>
      <c r="Y479" s="7">
        <f t="shared" si="49"/>
        <v>3.6405886909372583E-2</v>
      </c>
      <c r="Z479" s="7">
        <f t="shared" si="50"/>
        <v>0.94113090627420604</v>
      </c>
      <c r="AA479">
        <f t="shared" si="51"/>
        <v>226</v>
      </c>
      <c r="AB479" s="8">
        <f t="shared" si="52"/>
        <v>20881.63</v>
      </c>
      <c r="AC479">
        <f t="shared" si="53"/>
        <v>61.4</v>
      </c>
      <c r="AD479" t="str">
        <f t="shared" si="54"/>
        <v>Medium</v>
      </c>
      <c r="AE479" t="str">
        <f t="shared" si="55"/>
        <v>No</v>
      </c>
    </row>
    <row r="480" spans="1:31" x14ac:dyDescent="0.35">
      <c r="A480" t="s">
        <v>593</v>
      </c>
      <c r="B480" s="5">
        <v>46244</v>
      </c>
      <c r="C480" t="s">
        <v>565</v>
      </c>
      <c r="D480" t="s">
        <v>22</v>
      </c>
      <c r="E480" t="s">
        <v>93</v>
      </c>
      <c r="F480" t="s">
        <v>32</v>
      </c>
      <c r="G480" t="s">
        <v>90</v>
      </c>
      <c r="H480" t="s">
        <v>37</v>
      </c>
      <c r="I480" t="s">
        <v>45</v>
      </c>
      <c r="J480">
        <v>1188</v>
      </c>
      <c r="K480">
        <v>1096</v>
      </c>
      <c r="L480">
        <v>45</v>
      </c>
      <c r="M480">
        <v>20</v>
      </c>
      <c r="N480">
        <v>994</v>
      </c>
      <c r="O480">
        <v>73.900000000000006</v>
      </c>
      <c r="P480">
        <v>2.7</v>
      </c>
      <c r="Q480" t="s">
        <v>80</v>
      </c>
      <c r="R480" t="s">
        <v>81</v>
      </c>
      <c r="S480" t="s">
        <v>100</v>
      </c>
      <c r="T480">
        <v>2</v>
      </c>
      <c r="U480">
        <v>6</v>
      </c>
      <c r="V480" s="6">
        <v>343.82</v>
      </c>
      <c r="W480" s="6">
        <v>4529.1000000000004</v>
      </c>
      <c r="X480" t="s">
        <v>94</v>
      </c>
      <c r="Y480" s="7">
        <f t="shared" si="49"/>
        <v>4.105839416058394E-2</v>
      </c>
      <c r="Z480" s="7">
        <f t="shared" si="50"/>
        <v>0.90693430656934304</v>
      </c>
      <c r="AA480">
        <f t="shared" si="51"/>
        <v>92</v>
      </c>
      <c r="AB480" s="8">
        <f t="shared" si="52"/>
        <v>15471.9</v>
      </c>
      <c r="AC480">
        <f t="shared" si="53"/>
        <v>48.8</v>
      </c>
      <c r="AD480" t="str">
        <f t="shared" si="54"/>
        <v>Medium</v>
      </c>
      <c r="AE480" t="str">
        <f t="shared" si="55"/>
        <v>No</v>
      </c>
    </row>
    <row r="481" spans="1:31" x14ac:dyDescent="0.35">
      <c r="A481" t="s">
        <v>594</v>
      </c>
      <c r="B481" s="5">
        <v>46244</v>
      </c>
      <c r="C481" t="s">
        <v>565</v>
      </c>
      <c r="D481" t="s">
        <v>25</v>
      </c>
      <c r="E481" t="s">
        <v>89</v>
      </c>
      <c r="F481" t="s">
        <v>30</v>
      </c>
      <c r="G481" t="s">
        <v>85</v>
      </c>
      <c r="H481" t="s">
        <v>39</v>
      </c>
      <c r="I481" t="s">
        <v>48</v>
      </c>
      <c r="J481">
        <v>802</v>
      </c>
      <c r="K481">
        <v>725</v>
      </c>
      <c r="L481">
        <v>24</v>
      </c>
      <c r="M481">
        <v>18</v>
      </c>
      <c r="N481">
        <v>688</v>
      </c>
      <c r="O481">
        <v>71.900000000000006</v>
      </c>
      <c r="P481">
        <v>10.9</v>
      </c>
      <c r="Q481" t="s">
        <v>80</v>
      </c>
      <c r="R481" t="s">
        <v>81</v>
      </c>
      <c r="S481" t="s">
        <v>82</v>
      </c>
      <c r="T481">
        <v>10</v>
      </c>
      <c r="U481">
        <v>3</v>
      </c>
      <c r="V481" s="6">
        <v>93.41</v>
      </c>
      <c r="W481" s="6">
        <v>583.57000000000005</v>
      </c>
      <c r="X481" t="s">
        <v>94</v>
      </c>
      <c r="Y481" s="7">
        <f t="shared" si="49"/>
        <v>3.310344827586207E-2</v>
      </c>
      <c r="Z481" s="7">
        <f t="shared" si="50"/>
        <v>0.94896551724137934</v>
      </c>
      <c r="AA481">
        <f t="shared" si="51"/>
        <v>77</v>
      </c>
      <c r="AB481" s="8">
        <f t="shared" si="52"/>
        <v>2241.84</v>
      </c>
      <c r="AC481">
        <f t="shared" si="53"/>
        <v>49.6</v>
      </c>
      <c r="AD481" t="str">
        <f t="shared" si="54"/>
        <v>Medium</v>
      </c>
      <c r="AE481" t="str">
        <f t="shared" si="55"/>
        <v>No</v>
      </c>
    </row>
    <row r="482" spans="1:31" x14ac:dyDescent="0.35">
      <c r="A482" t="s">
        <v>595</v>
      </c>
      <c r="B482" s="5">
        <v>46251</v>
      </c>
      <c r="C482" t="s">
        <v>565</v>
      </c>
      <c r="D482" t="s">
        <v>22</v>
      </c>
      <c r="E482" t="s">
        <v>93</v>
      </c>
      <c r="F482" t="s">
        <v>31</v>
      </c>
      <c r="G482" t="s">
        <v>85</v>
      </c>
      <c r="H482" t="s">
        <v>37</v>
      </c>
      <c r="I482" t="s">
        <v>47</v>
      </c>
      <c r="J482">
        <v>1027</v>
      </c>
      <c r="K482">
        <v>887</v>
      </c>
      <c r="L482">
        <v>14</v>
      </c>
      <c r="M482">
        <v>9</v>
      </c>
      <c r="N482">
        <v>793</v>
      </c>
      <c r="O482">
        <v>72.400000000000006</v>
      </c>
      <c r="P482">
        <v>6.6</v>
      </c>
      <c r="Q482" t="s">
        <v>80</v>
      </c>
      <c r="R482" t="s">
        <v>81</v>
      </c>
      <c r="S482" t="s">
        <v>82</v>
      </c>
      <c r="T482">
        <v>3</v>
      </c>
      <c r="U482">
        <v>0</v>
      </c>
      <c r="V482" s="6">
        <v>324.77</v>
      </c>
      <c r="W482" s="6">
        <v>1662.81</v>
      </c>
      <c r="X482" t="s">
        <v>121</v>
      </c>
      <c r="Y482" s="7">
        <f t="shared" si="49"/>
        <v>1.5783540022547914E-2</v>
      </c>
      <c r="Z482" s="7">
        <f t="shared" si="50"/>
        <v>0.89402480270574969</v>
      </c>
      <c r="AA482">
        <f t="shared" si="51"/>
        <v>140</v>
      </c>
      <c r="AB482" s="8">
        <f t="shared" si="52"/>
        <v>4546.78</v>
      </c>
      <c r="AC482">
        <f t="shared" si="53"/>
        <v>29.1</v>
      </c>
      <c r="AD482" t="str">
        <f t="shared" si="54"/>
        <v>Low</v>
      </c>
      <c r="AE482" t="str">
        <f t="shared" si="55"/>
        <v>No</v>
      </c>
    </row>
    <row r="483" spans="1:31" x14ac:dyDescent="0.35">
      <c r="A483" t="s">
        <v>596</v>
      </c>
      <c r="B483" s="5">
        <v>46251</v>
      </c>
      <c r="C483" t="s">
        <v>565</v>
      </c>
      <c r="D483" t="s">
        <v>20</v>
      </c>
      <c r="E483" t="s">
        <v>78</v>
      </c>
      <c r="F483" t="s">
        <v>29</v>
      </c>
      <c r="G483" t="s">
        <v>90</v>
      </c>
      <c r="H483" t="s">
        <v>38</v>
      </c>
      <c r="I483" t="s">
        <v>46</v>
      </c>
      <c r="J483">
        <v>1356</v>
      </c>
      <c r="K483">
        <v>1196</v>
      </c>
      <c r="L483">
        <v>29</v>
      </c>
      <c r="M483">
        <v>24</v>
      </c>
      <c r="N483">
        <v>1107</v>
      </c>
      <c r="O483">
        <v>70.5</v>
      </c>
      <c r="P483">
        <v>10.6</v>
      </c>
      <c r="Q483" t="s">
        <v>80</v>
      </c>
      <c r="R483" t="s">
        <v>81</v>
      </c>
      <c r="S483" t="s">
        <v>82</v>
      </c>
      <c r="T483">
        <v>1</v>
      </c>
      <c r="U483">
        <v>0</v>
      </c>
      <c r="V483" s="6">
        <v>213.13</v>
      </c>
      <c r="W483" s="6">
        <v>3658.92</v>
      </c>
      <c r="X483" t="s">
        <v>121</v>
      </c>
      <c r="Y483" s="7">
        <f t="shared" si="49"/>
        <v>2.4247491638795988E-2</v>
      </c>
      <c r="Z483" s="7">
        <f t="shared" si="50"/>
        <v>0.92558528428093645</v>
      </c>
      <c r="AA483">
        <f t="shared" si="51"/>
        <v>160</v>
      </c>
      <c r="AB483" s="8">
        <f t="shared" si="52"/>
        <v>6180.7699999999995</v>
      </c>
      <c r="AC483">
        <f t="shared" si="53"/>
        <v>41.4</v>
      </c>
      <c r="AD483" t="str">
        <f t="shared" si="54"/>
        <v>Medium</v>
      </c>
      <c r="AE483" t="str">
        <f t="shared" si="55"/>
        <v>No</v>
      </c>
    </row>
    <row r="484" spans="1:31" x14ac:dyDescent="0.35">
      <c r="A484" t="s">
        <v>597</v>
      </c>
      <c r="B484" s="5">
        <v>46251</v>
      </c>
      <c r="C484" t="s">
        <v>565</v>
      </c>
      <c r="D484" t="s">
        <v>22</v>
      </c>
      <c r="E484" t="s">
        <v>93</v>
      </c>
      <c r="F484" t="s">
        <v>27</v>
      </c>
      <c r="G484" t="s">
        <v>85</v>
      </c>
      <c r="H484" t="s">
        <v>40</v>
      </c>
      <c r="I484" t="s">
        <v>45</v>
      </c>
      <c r="J484">
        <v>1549</v>
      </c>
      <c r="K484">
        <v>1421</v>
      </c>
      <c r="L484">
        <v>59</v>
      </c>
      <c r="M484">
        <v>45</v>
      </c>
      <c r="N484">
        <v>1296</v>
      </c>
      <c r="O484">
        <v>32.6</v>
      </c>
      <c r="P484">
        <v>8.1999999999999993</v>
      </c>
      <c r="Q484" t="s">
        <v>96</v>
      </c>
      <c r="R484" t="s">
        <v>81</v>
      </c>
      <c r="S484" t="s">
        <v>82</v>
      </c>
      <c r="T484">
        <v>8</v>
      </c>
      <c r="U484">
        <v>5</v>
      </c>
      <c r="V484" s="6">
        <v>34.08</v>
      </c>
      <c r="W484" s="6">
        <v>1318.51</v>
      </c>
      <c r="X484" t="s">
        <v>94</v>
      </c>
      <c r="Y484" s="7">
        <f t="shared" si="49"/>
        <v>4.1520056298381423E-2</v>
      </c>
      <c r="Z484" s="7">
        <f t="shared" si="50"/>
        <v>0.91203377902885296</v>
      </c>
      <c r="AA484">
        <f t="shared" si="51"/>
        <v>128</v>
      </c>
      <c r="AB484" s="8">
        <f t="shared" si="52"/>
        <v>2010.7199999999998</v>
      </c>
      <c r="AC484">
        <f t="shared" si="53"/>
        <v>66.099999999999994</v>
      </c>
      <c r="AD484" t="str">
        <f t="shared" si="54"/>
        <v>High</v>
      </c>
      <c r="AE484" t="str">
        <f t="shared" si="55"/>
        <v>Yes</v>
      </c>
    </row>
    <row r="485" spans="1:31" x14ac:dyDescent="0.35">
      <c r="A485" t="s">
        <v>598</v>
      </c>
      <c r="B485" s="5">
        <v>46251</v>
      </c>
      <c r="C485" t="s">
        <v>565</v>
      </c>
      <c r="D485" t="s">
        <v>20</v>
      </c>
      <c r="E485" t="s">
        <v>78</v>
      </c>
      <c r="F485" t="s">
        <v>29</v>
      </c>
      <c r="G485" t="s">
        <v>90</v>
      </c>
      <c r="H485" t="s">
        <v>40</v>
      </c>
      <c r="I485" t="s">
        <v>45</v>
      </c>
      <c r="J485">
        <v>1480</v>
      </c>
      <c r="K485">
        <v>1423</v>
      </c>
      <c r="L485">
        <v>37</v>
      </c>
      <c r="M485">
        <v>28</v>
      </c>
      <c r="N485">
        <v>1423</v>
      </c>
      <c r="O485">
        <v>57.6</v>
      </c>
      <c r="P485">
        <v>1.5</v>
      </c>
      <c r="Q485" t="s">
        <v>80</v>
      </c>
      <c r="R485" t="s">
        <v>81</v>
      </c>
      <c r="S485" t="s">
        <v>82</v>
      </c>
      <c r="T485">
        <v>5</v>
      </c>
      <c r="U485">
        <v>3</v>
      </c>
      <c r="V485" s="6">
        <v>302.2</v>
      </c>
      <c r="W485" s="6">
        <v>5693.01</v>
      </c>
      <c r="X485" t="s">
        <v>91</v>
      </c>
      <c r="Y485" s="7">
        <f t="shared" si="49"/>
        <v>2.600140548137737E-2</v>
      </c>
      <c r="Z485" s="7">
        <f t="shared" si="50"/>
        <v>1</v>
      </c>
      <c r="AA485">
        <f t="shared" si="51"/>
        <v>57</v>
      </c>
      <c r="AB485" s="8">
        <f t="shared" si="52"/>
        <v>11181.4</v>
      </c>
      <c r="AC485">
        <f t="shared" si="53"/>
        <v>28</v>
      </c>
      <c r="AD485" t="str">
        <f t="shared" si="54"/>
        <v>Low</v>
      </c>
      <c r="AE485" t="str">
        <f t="shared" si="55"/>
        <v>No</v>
      </c>
    </row>
    <row r="486" spans="1:31" x14ac:dyDescent="0.35">
      <c r="A486" t="s">
        <v>599</v>
      </c>
      <c r="B486" s="5">
        <v>46251</v>
      </c>
      <c r="C486" t="s">
        <v>565</v>
      </c>
      <c r="D486" t="s">
        <v>24</v>
      </c>
      <c r="E486" t="s">
        <v>78</v>
      </c>
      <c r="F486" t="s">
        <v>31</v>
      </c>
      <c r="G486" t="s">
        <v>90</v>
      </c>
      <c r="H486" t="s">
        <v>36</v>
      </c>
      <c r="I486" t="s">
        <v>48</v>
      </c>
      <c r="J486">
        <v>853</v>
      </c>
      <c r="K486">
        <v>858</v>
      </c>
      <c r="L486">
        <v>17</v>
      </c>
      <c r="M486">
        <v>6</v>
      </c>
      <c r="N486">
        <v>792</v>
      </c>
      <c r="O486">
        <v>43.5</v>
      </c>
      <c r="P486">
        <v>1.9</v>
      </c>
      <c r="Q486" t="s">
        <v>80</v>
      </c>
      <c r="R486" t="s">
        <v>81</v>
      </c>
      <c r="S486" t="s">
        <v>82</v>
      </c>
      <c r="T486">
        <v>2</v>
      </c>
      <c r="U486">
        <v>0</v>
      </c>
      <c r="V486" s="6">
        <v>382.02</v>
      </c>
      <c r="W486" s="6">
        <v>3984.77</v>
      </c>
      <c r="X486" t="s">
        <v>94</v>
      </c>
      <c r="Y486" s="7">
        <f t="shared" si="49"/>
        <v>1.9813519813519812E-2</v>
      </c>
      <c r="Z486" s="7">
        <f t="shared" si="50"/>
        <v>0.92307692307692313</v>
      </c>
      <c r="AA486">
        <f t="shared" si="51"/>
        <v>-5</v>
      </c>
      <c r="AB486" s="8">
        <f t="shared" si="52"/>
        <v>6494.34</v>
      </c>
      <c r="AC486">
        <f t="shared" si="53"/>
        <v>25.7</v>
      </c>
      <c r="AD486" t="str">
        <f t="shared" si="54"/>
        <v>Low</v>
      </c>
      <c r="AE486" t="str">
        <f t="shared" si="55"/>
        <v>No</v>
      </c>
    </row>
    <row r="487" spans="1:31" x14ac:dyDescent="0.35">
      <c r="A487" t="s">
        <v>600</v>
      </c>
      <c r="B487" s="5">
        <v>46251</v>
      </c>
      <c r="C487" t="s">
        <v>565</v>
      </c>
      <c r="D487" t="s">
        <v>25</v>
      </c>
      <c r="E487" t="s">
        <v>89</v>
      </c>
      <c r="F487" t="s">
        <v>29</v>
      </c>
      <c r="G487" t="s">
        <v>90</v>
      </c>
      <c r="H487" t="s">
        <v>40</v>
      </c>
      <c r="I487" t="s">
        <v>45</v>
      </c>
      <c r="J487">
        <v>1388</v>
      </c>
      <c r="K487">
        <v>1270</v>
      </c>
      <c r="L487">
        <v>32</v>
      </c>
      <c r="M487">
        <v>15</v>
      </c>
      <c r="N487">
        <v>1243</v>
      </c>
      <c r="O487">
        <v>66.900000000000006</v>
      </c>
      <c r="P487">
        <v>0</v>
      </c>
      <c r="Q487" t="s">
        <v>80</v>
      </c>
      <c r="R487" t="s">
        <v>81</v>
      </c>
      <c r="S487" t="s">
        <v>82</v>
      </c>
      <c r="T487">
        <v>5</v>
      </c>
      <c r="U487">
        <v>2</v>
      </c>
      <c r="V487" s="6">
        <v>446.93</v>
      </c>
      <c r="W487" s="6">
        <v>10320.719999999999</v>
      </c>
      <c r="X487" t="s">
        <v>94</v>
      </c>
      <c r="Y487" s="7">
        <f t="shared" si="49"/>
        <v>2.5196850393700787E-2</v>
      </c>
      <c r="Z487" s="7">
        <f t="shared" si="50"/>
        <v>0.97874015748031495</v>
      </c>
      <c r="AA487">
        <f t="shared" si="51"/>
        <v>118</v>
      </c>
      <c r="AB487" s="8">
        <f t="shared" si="52"/>
        <v>14301.76</v>
      </c>
      <c r="AC487">
        <f t="shared" si="53"/>
        <v>26.2</v>
      </c>
      <c r="AD487" t="str">
        <f t="shared" si="54"/>
        <v>Low</v>
      </c>
      <c r="AE487" t="str">
        <f t="shared" si="55"/>
        <v>No</v>
      </c>
    </row>
    <row r="488" spans="1:31" x14ac:dyDescent="0.35">
      <c r="A488" t="s">
        <v>601</v>
      </c>
      <c r="B488" s="5">
        <v>46251</v>
      </c>
      <c r="C488" t="s">
        <v>565</v>
      </c>
      <c r="D488" t="s">
        <v>20</v>
      </c>
      <c r="E488" t="s">
        <v>78</v>
      </c>
      <c r="F488" t="s">
        <v>27</v>
      </c>
      <c r="G488" t="s">
        <v>85</v>
      </c>
      <c r="H488" t="s">
        <v>39</v>
      </c>
      <c r="I488" t="s">
        <v>47</v>
      </c>
      <c r="J488">
        <v>1031</v>
      </c>
      <c r="K488">
        <v>935</v>
      </c>
      <c r="L488">
        <v>34</v>
      </c>
      <c r="M488">
        <v>22</v>
      </c>
      <c r="N488">
        <v>920</v>
      </c>
      <c r="O488">
        <v>35.700000000000003</v>
      </c>
      <c r="P488">
        <v>7</v>
      </c>
      <c r="Q488" t="s">
        <v>80</v>
      </c>
      <c r="R488" t="s">
        <v>81</v>
      </c>
      <c r="S488" t="s">
        <v>138</v>
      </c>
      <c r="T488">
        <v>6</v>
      </c>
      <c r="U488">
        <v>3</v>
      </c>
      <c r="V488" s="6">
        <v>262.18</v>
      </c>
      <c r="W488" s="6">
        <v>3591.05</v>
      </c>
      <c r="X488" t="s">
        <v>91</v>
      </c>
      <c r="Y488" s="7">
        <f t="shared" si="49"/>
        <v>3.6363636363636362E-2</v>
      </c>
      <c r="Z488" s="7">
        <f t="shared" si="50"/>
        <v>0.98395721925133695</v>
      </c>
      <c r="AA488">
        <f t="shared" si="51"/>
        <v>96</v>
      </c>
      <c r="AB488" s="8">
        <f t="shared" si="52"/>
        <v>8914.1200000000008</v>
      </c>
      <c r="AC488">
        <f t="shared" si="53"/>
        <v>58.2</v>
      </c>
      <c r="AD488" t="str">
        <f t="shared" si="54"/>
        <v>Medium</v>
      </c>
      <c r="AE488" t="str">
        <f t="shared" si="55"/>
        <v>Yes</v>
      </c>
    </row>
    <row r="489" spans="1:31" x14ac:dyDescent="0.35">
      <c r="A489" t="s">
        <v>602</v>
      </c>
      <c r="B489" s="5">
        <v>46251</v>
      </c>
      <c r="C489" t="s">
        <v>565</v>
      </c>
      <c r="D489" t="s">
        <v>24</v>
      </c>
      <c r="E489" t="s">
        <v>78</v>
      </c>
      <c r="F489" t="s">
        <v>27</v>
      </c>
      <c r="G489" t="s">
        <v>79</v>
      </c>
      <c r="H489" t="s">
        <v>36</v>
      </c>
      <c r="I489" t="s">
        <v>46</v>
      </c>
      <c r="J489">
        <v>914</v>
      </c>
      <c r="K489">
        <v>936</v>
      </c>
      <c r="L489">
        <v>11</v>
      </c>
      <c r="M489">
        <v>8</v>
      </c>
      <c r="N489">
        <v>917</v>
      </c>
      <c r="O489">
        <v>20.3</v>
      </c>
      <c r="P489">
        <v>9.5</v>
      </c>
      <c r="Q489" t="s">
        <v>86</v>
      </c>
      <c r="R489" t="s">
        <v>81</v>
      </c>
      <c r="S489" t="s">
        <v>82</v>
      </c>
      <c r="T489">
        <v>5</v>
      </c>
      <c r="U489">
        <v>0</v>
      </c>
      <c r="V489" s="6">
        <v>445.63</v>
      </c>
      <c r="W489" s="6">
        <v>1819.26</v>
      </c>
      <c r="X489" t="s">
        <v>94</v>
      </c>
      <c r="Y489" s="7">
        <f t="shared" si="49"/>
        <v>1.1752136752136752E-2</v>
      </c>
      <c r="Z489" s="7">
        <f t="shared" si="50"/>
        <v>0.97970085470085466</v>
      </c>
      <c r="AA489">
        <f t="shared" si="51"/>
        <v>-22</v>
      </c>
      <c r="AB489" s="8">
        <f t="shared" si="52"/>
        <v>4901.93</v>
      </c>
      <c r="AC489">
        <f t="shared" si="53"/>
        <v>43</v>
      </c>
      <c r="AD489" t="str">
        <f t="shared" si="54"/>
        <v>Medium</v>
      </c>
      <c r="AE489" t="str">
        <f t="shared" si="55"/>
        <v>Yes</v>
      </c>
    </row>
    <row r="490" spans="1:31" x14ac:dyDescent="0.35">
      <c r="A490" t="s">
        <v>603</v>
      </c>
      <c r="B490" s="5">
        <v>46251</v>
      </c>
      <c r="C490" t="s">
        <v>565</v>
      </c>
      <c r="D490" t="s">
        <v>22</v>
      </c>
      <c r="E490" t="s">
        <v>93</v>
      </c>
      <c r="F490" t="s">
        <v>31</v>
      </c>
      <c r="G490" t="s">
        <v>79</v>
      </c>
      <c r="H490" t="s">
        <v>37</v>
      </c>
      <c r="I490" t="s">
        <v>46</v>
      </c>
      <c r="J490">
        <v>1104</v>
      </c>
      <c r="K490">
        <v>1003</v>
      </c>
      <c r="L490">
        <v>29</v>
      </c>
      <c r="M490">
        <v>11</v>
      </c>
      <c r="N490">
        <v>998</v>
      </c>
      <c r="O490">
        <v>38.299999999999997</v>
      </c>
      <c r="P490">
        <v>0.4</v>
      </c>
      <c r="Q490" t="s">
        <v>80</v>
      </c>
      <c r="R490" t="s">
        <v>81</v>
      </c>
      <c r="S490" t="s">
        <v>82</v>
      </c>
      <c r="T490">
        <v>8</v>
      </c>
      <c r="U490">
        <v>0</v>
      </c>
      <c r="V490" s="6">
        <v>65.27</v>
      </c>
      <c r="W490" s="6">
        <v>1406.76</v>
      </c>
      <c r="X490" t="s">
        <v>87</v>
      </c>
      <c r="Y490" s="7">
        <f t="shared" si="49"/>
        <v>2.8913260219341975E-2</v>
      </c>
      <c r="Z490" s="7">
        <f t="shared" si="50"/>
        <v>0.99501495513459626</v>
      </c>
      <c r="AA490">
        <f t="shared" si="51"/>
        <v>101</v>
      </c>
      <c r="AB490" s="8">
        <f t="shared" si="52"/>
        <v>1892.83</v>
      </c>
      <c r="AC490">
        <f t="shared" si="53"/>
        <v>29.7</v>
      </c>
      <c r="AD490" t="str">
        <f t="shared" si="54"/>
        <v>Low</v>
      </c>
      <c r="AE490" t="str">
        <f t="shared" si="55"/>
        <v>No</v>
      </c>
    </row>
    <row r="491" spans="1:31" x14ac:dyDescent="0.35">
      <c r="A491" t="s">
        <v>604</v>
      </c>
      <c r="B491" s="5">
        <v>46251</v>
      </c>
      <c r="C491" t="s">
        <v>565</v>
      </c>
      <c r="D491" t="s">
        <v>22</v>
      </c>
      <c r="E491" t="s">
        <v>93</v>
      </c>
      <c r="F491" t="s">
        <v>30</v>
      </c>
      <c r="G491" t="s">
        <v>79</v>
      </c>
      <c r="H491" t="s">
        <v>40</v>
      </c>
      <c r="I491" t="s">
        <v>42</v>
      </c>
      <c r="J491">
        <v>975</v>
      </c>
      <c r="K491">
        <v>875</v>
      </c>
      <c r="L491">
        <v>20</v>
      </c>
      <c r="M491">
        <v>11</v>
      </c>
      <c r="N491">
        <v>779</v>
      </c>
      <c r="O491">
        <v>49.7</v>
      </c>
      <c r="P491">
        <v>1.4</v>
      </c>
      <c r="Q491" t="s">
        <v>80</v>
      </c>
      <c r="R491" t="s">
        <v>81</v>
      </c>
      <c r="S491" t="s">
        <v>82</v>
      </c>
      <c r="T491">
        <v>3</v>
      </c>
      <c r="U491">
        <v>5</v>
      </c>
      <c r="V491" s="6">
        <v>276.33999999999997</v>
      </c>
      <c r="W491" s="6">
        <v>2700.22</v>
      </c>
      <c r="X491" t="s">
        <v>94</v>
      </c>
      <c r="Y491" s="7">
        <f t="shared" si="49"/>
        <v>2.2857142857142857E-2</v>
      </c>
      <c r="Z491" s="7">
        <f t="shared" si="50"/>
        <v>0.89028571428571424</v>
      </c>
      <c r="AA491">
        <f t="shared" si="51"/>
        <v>100</v>
      </c>
      <c r="AB491" s="8">
        <f t="shared" si="52"/>
        <v>5526.7999999999993</v>
      </c>
      <c r="AC491">
        <f t="shared" si="53"/>
        <v>29.6</v>
      </c>
      <c r="AD491" t="str">
        <f t="shared" si="54"/>
        <v>Low</v>
      </c>
      <c r="AE491" t="str">
        <f t="shared" si="55"/>
        <v>No</v>
      </c>
    </row>
    <row r="492" spans="1:31" x14ac:dyDescent="0.35">
      <c r="A492" t="s">
        <v>605</v>
      </c>
      <c r="B492" s="5">
        <v>46251</v>
      </c>
      <c r="C492" t="s">
        <v>565</v>
      </c>
      <c r="D492" t="s">
        <v>25</v>
      </c>
      <c r="E492" t="s">
        <v>89</v>
      </c>
      <c r="F492" t="s">
        <v>31</v>
      </c>
      <c r="G492" t="s">
        <v>85</v>
      </c>
      <c r="H492" t="s">
        <v>40</v>
      </c>
      <c r="I492" t="s">
        <v>44</v>
      </c>
      <c r="J492">
        <v>837</v>
      </c>
      <c r="K492">
        <v>717</v>
      </c>
      <c r="L492">
        <v>23</v>
      </c>
      <c r="M492">
        <v>14</v>
      </c>
      <c r="N492">
        <v>674</v>
      </c>
      <c r="O492">
        <v>64.3</v>
      </c>
      <c r="P492">
        <v>11.5</v>
      </c>
      <c r="Q492" t="s">
        <v>80</v>
      </c>
      <c r="R492" t="s">
        <v>81</v>
      </c>
      <c r="S492" t="s">
        <v>82</v>
      </c>
      <c r="T492">
        <v>5</v>
      </c>
      <c r="U492">
        <v>0</v>
      </c>
      <c r="V492" s="6">
        <v>310.55</v>
      </c>
      <c r="W492" s="6">
        <v>2383.58</v>
      </c>
      <c r="X492" t="s">
        <v>94</v>
      </c>
      <c r="Y492" s="7">
        <f t="shared" si="49"/>
        <v>3.2078103207810321E-2</v>
      </c>
      <c r="Z492" s="7">
        <f t="shared" si="50"/>
        <v>0.94002789400278941</v>
      </c>
      <c r="AA492">
        <f t="shared" si="51"/>
        <v>120</v>
      </c>
      <c r="AB492" s="8">
        <f t="shared" si="52"/>
        <v>7142.6500000000005</v>
      </c>
      <c r="AC492">
        <f t="shared" si="53"/>
        <v>49.7</v>
      </c>
      <c r="AD492" t="str">
        <f t="shared" si="54"/>
        <v>Medium</v>
      </c>
      <c r="AE492" t="str">
        <f t="shared" si="55"/>
        <v>No</v>
      </c>
    </row>
    <row r="493" spans="1:31" x14ac:dyDescent="0.35">
      <c r="A493" t="s">
        <v>606</v>
      </c>
      <c r="B493" s="5">
        <v>46251</v>
      </c>
      <c r="C493" t="s">
        <v>565</v>
      </c>
      <c r="D493" t="s">
        <v>20</v>
      </c>
      <c r="E493" t="s">
        <v>78</v>
      </c>
      <c r="F493" t="s">
        <v>30</v>
      </c>
      <c r="G493" t="s">
        <v>79</v>
      </c>
      <c r="H493" t="s">
        <v>37</v>
      </c>
      <c r="I493" t="s">
        <v>42</v>
      </c>
      <c r="J493">
        <v>1010</v>
      </c>
      <c r="K493">
        <v>907</v>
      </c>
      <c r="L493">
        <v>28</v>
      </c>
      <c r="M493">
        <v>19</v>
      </c>
      <c r="N493">
        <v>882</v>
      </c>
      <c r="O493">
        <v>56.2</v>
      </c>
      <c r="P493">
        <v>19.399999999999999</v>
      </c>
      <c r="Q493" t="s">
        <v>86</v>
      </c>
      <c r="R493" t="s">
        <v>81</v>
      </c>
      <c r="S493" t="s">
        <v>82</v>
      </c>
      <c r="T493">
        <v>4</v>
      </c>
      <c r="U493">
        <v>5</v>
      </c>
      <c r="V493" s="6">
        <v>112.72</v>
      </c>
      <c r="W493" s="6">
        <v>2370.9299999999998</v>
      </c>
      <c r="X493" t="s">
        <v>94</v>
      </c>
      <c r="Y493" s="7">
        <f t="shared" si="49"/>
        <v>3.0871003307607496E-2</v>
      </c>
      <c r="Z493" s="7">
        <f t="shared" si="50"/>
        <v>0.97243660418963618</v>
      </c>
      <c r="AA493">
        <f t="shared" si="51"/>
        <v>103</v>
      </c>
      <c r="AB493" s="8">
        <f t="shared" si="52"/>
        <v>3156.16</v>
      </c>
      <c r="AC493">
        <f t="shared" si="53"/>
        <v>75.3</v>
      </c>
      <c r="AD493" t="str">
        <f t="shared" si="54"/>
        <v>High</v>
      </c>
      <c r="AE493" t="str">
        <f t="shared" si="55"/>
        <v>Yes</v>
      </c>
    </row>
    <row r="494" spans="1:31" x14ac:dyDescent="0.35">
      <c r="A494" t="s">
        <v>607</v>
      </c>
      <c r="B494" s="5">
        <v>46251</v>
      </c>
      <c r="C494" t="s">
        <v>565</v>
      </c>
      <c r="D494" t="s">
        <v>20</v>
      </c>
      <c r="E494" t="s">
        <v>78</v>
      </c>
      <c r="F494" t="s">
        <v>29</v>
      </c>
      <c r="G494" t="s">
        <v>85</v>
      </c>
      <c r="H494" t="s">
        <v>34</v>
      </c>
      <c r="I494" t="s">
        <v>45</v>
      </c>
      <c r="J494">
        <v>1449</v>
      </c>
      <c r="K494">
        <v>1330</v>
      </c>
      <c r="L494">
        <v>27</v>
      </c>
      <c r="M494">
        <v>9</v>
      </c>
      <c r="N494">
        <v>1241</v>
      </c>
      <c r="O494">
        <v>56.9</v>
      </c>
      <c r="P494">
        <v>7.8</v>
      </c>
      <c r="Q494" t="s">
        <v>80</v>
      </c>
      <c r="R494" t="s">
        <v>81</v>
      </c>
      <c r="S494" t="s">
        <v>82</v>
      </c>
      <c r="T494">
        <v>2</v>
      </c>
      <c r="U494">
        <v>4</v>
      </c>
      <c r="V494" s="6">
        <v>206.9</v>
      </c>
      <c r="W494" s="6">
        <v>1703.34</v>
      </c>
      <c r="X494" t="s">
        <v>94</v>
      </c>
      <c r="Y494" s="7">
        <f t="shared" si="49"/>
        <v>2.030075187969925E-2</v>
      </c>
      <c r="Z494" s="7">
        <f t="shared" si="50"/>
        <v>0.93308270676691729</v>
      </c>
      <c r="AA494">
        <f t="shared" si="51"/>
        <v>119</v>
      </c>
      <c r="AB494" s="8">
        <f t="shared" si="52"/>
        <v>5586.3</v>
      </c>
      <c r="AC494">
        <f t="shared" si="53"/>
        <v>33.5</v>
      </c>
      <c r="AD494" t="str">
        <f t="shared" si="54"/>
        <v>Low</v>
      </c>
      <c r="AE494" t="str">
        <f t="shared" si="55"/>
        <v>No</v>
      </c>
    </row>
    <row r="495" spans="1:31" x14ac:dyDescent="0.35">
      <c r="A495" t="s">
        <v>608</v>
      </c>
      <c r="B495" s="5">
        <v>46251</v>
      </c>
      <c r="C495" t="s">
        <v>565</v>
      </c>
      <c r="D495" t="s">
        <v>23</v>
      </c>
      <c r="E495" t="s">
        <v>78</v>
      </c>
      <c r="F495" t="s">
        <v>27</v>
      </c>
      <c r="G495" t="s">
        <v>90</v>
      </c>
      <c r="H495" t="s">
        <v>36</v>
      </c>
      <c r="I495" t="s">
        <v>46</v>
      </c>
      <c r="J495">
        <v>1401</v>
      </c>
      <c r="K495">
        <v>1157</v>
      </c>
      <c r="L495">
        <v>4</v>
      </c>
      <c r="M495">
        <v>2</v>
      </c>
      <c r="N495">
        <v>1139</v>
      </c>
      <c r="O495">
        <v>44.3</v>
      </c>
      <c r="P495">
        <v>10.1</v>
      </c>
      <c r="Q495" t="s">
        <v>80</v>
      </c>
      <c r="R495" t="s">
        <v>81</v>
      </c>
      <c r="S495" t="s">
        <v>82</v>
      </c>
      <c r="T495">
        <v>0</v>
      </c>
      <c r="U495">
        <v>0</v>
      </c>
      <c r="V495" s="6">
        <v>54.36</v>
      </c>
      <c r="W495" s="6">
        <v>112.78</v>
      </c>
      <c r="X495" t="s">
        <v>115</v>
      </c>
      <c r="Y495" s="7">
        <f t="shared" si="49"/>
        <v>3.4572169403630079E-3</v>
      </c>
      <c r="Z495" s="7">
        <f t="shared" si="50"/>
        <v>0.9844425237683665</v>
      </c>
      <c r="AA495">
        <f t="shared" si="51"/>
        <v>244</v>
      </c>
      <c r="AB495" s="8">
        <f t="shared" si="52"/>
        <v>217.44</v>
      </c>
      <c r="AC495">
        <f t="shared" si="53"/>
        <v>17.3</v>
      </c>
      <c r="AD495" t="str">
        <f t="shared" si="54"/>
        <v>Low</v>
      </c>
      <c r="AE495" t="str">
        <f t="shared" si="55"/>
        <v>No</v>
      </c>
    </row>
    <row r="496" spans="1:31" x14ac:dyDescent="0.35">
      <c r="A496" t="s">
        <v>609</v>
      </c>
      <c r="B496" s="5">
        <v>46251</v>
      </c>
      <c r="C496" t="s">
        <v>565</v>
      </c>
      <c r="D496" t="s">
        <v>22</v>
      </c>
      <c r="E496" t="s">
        <v>93</v>
      </c>
      <c r="F496" t="s">
        <v>31</v>
      </c>
      <c r="G496" t="s">
        <v>85</v>
      </c>
      <c r="H496" t="s">
        <v>38</v>
      </c>
      <c r="I496" t="s">
        <v>46</v>
      </c>
      <c r="J496">
        <v>1113</v>
      </c>
      <c r="K496">
        <v>990</v>
      </c>
      <c r="L496">
        <v>21</v>
      </c>
      <c r="M496">
        <v>16</v>
      </c>
      <c r="N496">
        <v>924</v>
      </c>
      <c r="O496">
        <v>73.900000000000006</v>
      </c>
      <c r="P496">
        <v>9.1999999999999993</v>
      </c>
      <c r="Q496" t="s">
        <v>80</v>
      </c>
      <c r="R496" t="s">
        <v>81</v>
      </c>
      <c r="S496" t="s">
        <v>82</v>
      </c>
      <c r="T496">
        <v>5</v>
      </c>
      <c r="U496">
        <v>0</v>
      </c>
      <c r="V496" s="6">
        <v>254.44</v>
      </c>
      <c r="W496" s="6">
        <v>3098.17</v>
      </c>
      <c r="X496" t="s">
        <v>94</v>
      </c>
      <c r="Y496" s="7">
        <f t="shared" si="49"/>
        <v>2.1212121212121213E-2</v>
      </c>
      <c r="Z496" s="7">
        <f t="shared" si="50"/>
        <v>0.93333333333333335</v>
      </c>
      <c r="AA496">
        <f t="shared" si="51"/>
        <v>123</v>
      </c>
      <c r="AB496" s="8">
        <f t="shared" si="52"/>
        <v>5343.24</v>
      </c>
      <c r="AC496">
        <f t="shared" si="53"/>
        <v>36.200000000000003</v>
      </c>
      <c r="AD496" t="str">
        <f t="shared" si="54"/>
        <v>Low</v>
      </c>
      <c r="AE496" t="str">
        <f t="shared" si="55"/>
        <v>No</v>
      </c>
    </row>
    <row r="497" spans="1:31" x14ac:dyDescent="0.35">
      <c r="A497" t="s">
        <v>610</v>
      </c>
      <c r="B497" s="5">
        <v>46258</v>
      </c>
      <c r="C497" t="s">
        <v>565</v>
      </c>
      <c r="D497" t="s">
        <v>23</v>
      </c>
      <c r="E497" t="s">
        <v>78</v>
      </c>
      <c r="F497" t="s">
        <v>31</v>
      </c>
      <c r="G497" t="s">
        <v>79</v>
      </c>
      <c r="H497" t="s">
        <v>38</v>
      </c>
      <c r="I497" t="s">
        <v>45</v>
      </c>
      <c r="J497">
        <v>973</v>
      </c>
      <c r="K497">
        <v>829</v>
      </c>
      <c r="L497">
        <v>27</v>
      </c>
      <c r="M497">
        <v>18</v>
      </c>
      <c r="N497">
        <v>762</v>
      </c>
      <c r="O497">
        <v>20.3</v>
      </c>
      <c r="P497">
        <v>8.6999999999999993</v>
      </c>
      <c r="Q497" t="s">
        <v>80</v>
      </c>
      <c r="R497" t="s">
        <v>81</v>
      </c>
      <c r="S497" t="s">
        <v>82</v>
      </c>
      <c r="T497">
        <v>3</v>
      </c>
      <c r="U497">
        <v>4</v>
      </c>
      <c r="V497" s="6">
        <v>354.78</v>
      </c>
      <c r="W497" s="6">
        <v>6187.57</v>
      </c>
      <c r="X497" t="s">
        <v>83</v>
      </c>
      <c r="Y497" s="7">
        <f t="shared" si="49"/>
        <v>3.2569360675512665E-2</v>
      </c>
      <c r="Z497" s="7">
        <f t="shared" si="50"/>
        <v>0.91917973462002411</v>
      </c>
      <c r="AA497">
        <f t="shared" si="51"/>
        <v>144</v>
      </c>
      <c r="AB497" s="8">
        <f t="shared" si="52"/>
        <v>9579.06</v>
      </c>
      <c r="AC497">
        <f t="shared" si="53"/>
        <v>47.5</v>
      </c>
      <c r="AD497" t="str">
        <f t="shared" si="54"/>
        <v>Medium</v>
      </c>
      <c r="AE497" t="str">
        <f t="shared" si="55"/>
        <v>No</v>
      </c>
    </row>
    <row r="498" spans="1:31" x14ac:dyDescent="0.35">
      <c r="A498" t="s">
        <v>611</v>
      </c>
      <c r="B498" s="5">
        <v>46258</v>
      </c>
      <c r="C498" t="s">
        <v>565</v>
      </c>
      <c r="D498" t="s">
        <v>25</v>
      </c>
      <c r="E498" t="s">
        <v>89</v>
      </c>
      <c r="F498" t="s">
        <v>29</v>
      </c>
      <c r="G498" t="s">
        <v>90</v>
      </c>
      <c r="H498" t="s">
        <v>34</v>
      </c>
      <c r="I498" t="s">
        <v>48</v>
      </c>
      <c r="J498">
        <v>995</v>
      </c>
      <c r="K498">
        <v>890</v>
      </c>
      <c r="L498">
        <v>33</v>
      </c>
      <c r="M498">
        <v>13</v>
      </c>
      <c r="N498">
        <v>861</v>
      </c>
      <c r="O498">
        <v>33.200000000000003</v>
      </c>
      <c r="P498">
        <v>25.1</v>
      </c>
      <c r="Q498" t="s">
        <v>86</v>
      </c>
      <c r="R498" t="s">
        <v>81</v>
      </c>
      <c r="S498" t="s">
        <v>82</v>
      </c>
      <c r="T498">
        <v>0</v>
      </c>
      <c r="U498">
        <v>0</v>
      </c>
      <c r="V498" s="6">
        <v>69</v>
      </c>
      <c r="W498" s="6">
        <v>769.95</v>
      </c>
      <c r="X498" t="s">
        <v>115</v>
      </c>
      <c r="Y498" s="7">
        <f t="shared" si="49"/>
        <v>3.707865168539326E-2</v>
      </c>
      <c r="Z498" s="7">
        <f t="shared" si="50"/>
        <v>0.96741573033707862</v>
      </c>
      <c r="AA498">
        <f t="shared" si="51"/>
        <v>105</v>
      </c>
      <c r="AB498" s="8">
        <f t="shared" si="52"/>
        <v>2277</v>
      </c>
      <c r="AC498">
        <f t="shared" si="53"/>
        <v>89.2</v>
      </c>
      <c r="AD498" t="str">
        <f t="shared" si="54"/>
        <v>High</v>
      </c>
      <c r="AE498" t="str">
        <f t="shared" si="55"/>
        <v>Yes</v>
      </c>
    </row>
    <row r="499" spans="1:31" x14ac:dyDescent="0.35">
      <c r="A499" t="s">
        <v>612</v>
      </c>
      <c r="B499" s="5">
        <v>46258</v>
      </c>
      <c r="C499" t="s">
        <v>565</v>
      </c>
      <c r="D499" t="s">
        <v>23</v>
      </c>
      <c r="E499" t="s">
        <v>78</v>
      </c>
      <c r="F499" t="s">
        <v>27</v>
      </c>
      <c r="G499" t="s">
        <v>85</v>
      </c>
      <c r="H499" t="s">
        <v>39</v>
      </c>
      <c r="I499" t="s">
        <v>44</v>
      </c>
      <c r="J499">
        <v>1321</v>
      </c>
      <c r="K499">
        <v>1164</v>
      </c>
      <c r="L499">
        <v>22</v>
      </c>
      <c r="M499">
        <v>10</v>
      </c>
      <c r="N499">
        <v>1126</v>
      </c>
      <c r="O499">
        <v>20.5</v>
      </c>
      <c r="P499">
        <v>14.1</v>
      </c>
      <c r="Q499" t="s">
        <v>80</v>
      </c>
      <c r="R499" t="s">
        <v>81</v>
      </c>
      <c r="S499" t="s">
        <v>82</v>
      </c>
      <c r="T499">
        <v>9</v>
      </c>
      <c r="U499">
        <v>5</v>
      </c>
      <c r="V499" s="6">
        <v>449.92</v>
      </c>
      <c r="W499" s="6">
        <v>5811.7</v>
      </c>
      <c r="X499" t="s">
        <v>94</v>
      </c>
      <c r="Y499" s="7">
        <f t="shared" si="49"/>
        <v>1.8900343642611683E-2</v>
      </c>
      <c r="Z499" s="7">
        <f t="shared" si="50"/>
        <v>0.96735395189003437</v>
      </c>
      <c r="AA499">
        <f t="shared" si="51"/>
        <v>157</v>
      </c>
      <c r="AB499" s="8">
        <f t="shared" si="52"/>
        <v>9898.24</v>
      </c>
      <c r="AC499">
        <f t="shared" si="53"/>
        <v>38.700000000000003</v>
      </c>
      <c r="AD499" t="str">
        <f t="shared" si="54"/>
        <v>Low</v>
      </c>
      <c r="AE499" t="str">
        <f t="shared" si="55"/>
        <v>No</v>
      </c>
    </row>
    <row r="500" spans="1:31" x14ac:dyDescent="0.35">
      <c r="A500" t="s">
        <v>613</v>
      </c>
      <c r="B500" s="5">
        <v>46258</v>
      </c>
      <c r="C500" t="s">
        <v>565</v>
      </c>
      <c r="D500" t="s">
        <v>25</v>
      </c>
      <c r="E500" t="s">
        <v>89</v>
      </c>
      <c r="F500" t="s">
        <v>30</v>
      </c>
      <c r="G500" t="s">
        <v>90</v>
      </c>
      <c r="H500" t="s">
        <v>40</v>
      </c>
      <c r="I500" t="s">
        <v>45</v>
      </c>
      <c r="J500">
        <v>1191</v>
      </c>
      <c r="K500">
        <v>1081</v>
      </c>
      <c r="L500">
        <v>26</v>
      </c>
      <c r="M500">
        <v>13</v>
      </c>
      <c r="N500">
        <v>1073</v>
      </c>
      <c r="O500">
        <v>26.2</v>
      </c>
      <c r="P500">
        <v>12.5</v>
      </c>
      <c r="Q500" t="s">
        <v>80</v>
      </c>
      <c r="R500" t="s">
        <v>81</v>
      </c>
      <c r="S500" t="s">
        <v>82</v>
      </c>
      <c r="T500">
        <v>5</v>
      </c>
      <c r="U500">
        <v>3</v>
      </c>
      <c r="V500" s="6">
        <v>133.35</v>
      </c>
      <c r="W500" s="6">
        <v>2407.3200000000002</v>
      </c>
      <c r="X500" t="s">
        <v>94</v>
      </c>
      <c r="Y500" s="7">
        <f t="shared" si="49"/>
        <v>2.4051803885291396E-2</v>
      </c>
      <c r="Z500" s="7">
        <f t="shared" si="50"/>
        <v>0.99259944495837182</v>
      </c>
      <c r="AA500">
        <f t="shared" si="51"/>
        <v>110</v>
      </c>
      <c r="AB500" s="8">
        <f t="shared" si="52"/>
        <v>3467.1</v>
      </c>
      <c r="AC500">
        <f t="shared" si="53"/>
        <v>40.6</v>
      </c>
      <c r="AD500" t="str">
        <f t="shared" si="54"/>
        <v>Medium</v>
      </c>
      <c r="AE500" t="str">
        <f t="shared" si="55"/>
        <v>No</v>
      </c>
    </row>
    <row r="501" spans="1:31" x14ac:dyDescent="0.35">
      <c r="A501" t="s">
        <v>614</v>
      </c>
      <c r="B501" s="5">
        <v>46258</v>
      </c>
      <c r="C501" t="s">
        <v>565</v>
      </c>
      <c r="D501" t="s">
        <v>25</v>
      </c>
      <c r="E501" t="s">
        <v>89</v>
      </c>
      <c r="F501" t="s">
        <v>30</v>
      </c>
      <c r="G501" t="s">
        <v>85</v>
      </c>
      <c r="H501" t="s">
        <v>39</v>
      </c>
      <c r="I501" t="s">
        <v>46</v>
      </c>
      <c r="J501">
        <v>1176</v>
      </c>
      <c r="K501">
        <v>1040</v>
      </c>
      <c r="L501">
        <v>4</v>
      </c>
      <c r="M501">
        <v>1</v>
      </c>
      <c r="N501">
        <v>986</v>
      </c>
      <c r="O501">
        <v>25.7</v>
      </c>
      <c r="P501">
        <v>16</v>
      </c>
      <c r="Q501" t="s">
        <v>80</v>
      </c>
      <c r="R501" t="s">
        <v>81</v>
      </c>
      <c r="S501" t="s">
        <v>82</v>
      </c>
      <c r="T501">
        <v>0</v>
      </c>
      <c r="U501">
        <v>0</v>
      </c>
      <c r="V501" s="6">
        <v>58.68</v>
      </c>
      <c r="W501" s="6">
        <v>157.68</v>
      </c>
      <c r="X501" t="s">
        <v>87</v>
      </c>
      <c r="Y501" s="7">
        <f t="shared" si="49"/>
        <v>3.8461538461538464E-3</v>
      </c>
      <c r="Z501" s="7">
        <f t="shared" si="50"/>
        <v>0.94807692307692304</v>
      </c>
      <c r="AA501">
        <f t="shared" si="51"/>
        <v>136</v>
      </c>
      <c r="AB501" s="8">
        <f t="shared" si="52"/>
        <v>234.72</v>
      </c>
      <c r="AC501">
        <f t="shared" si="53"/>
        <v>27</v>
      </c>
      <c r="AD501" t="str">
        <f t="shared" si="54"/>
        <v>Low</v>
      </c>
      <c r="AE501" t="str">
        <f t="shared" si="55"/>
        <v>No</v>
      </c>
    </row>
    <row r="502" spans="1:31" x14ac:dyDescent="0.35">
      <c r="A502" t="s">
        <v>615</v>
      </c>
      <c r="B502" s="5">
        <v>46258</v>
      </c>
      <c r="C502" t="s">
        <v>565</v>
      </c>
      <c r="D502" t="s">
        <v>24</v>
      </c>
      <c r="E502" t="s">
        <v>78</v>
      </c>
      <c r="F502" t="s">
        <v>30</v>
      </c>
      <c r="G502" t="s">
        <v>79</v>
      </c>
      <c r="H502" t="s">
        <v>34</v>
      </c>
      <c r="I502" t="s">
        <v>48</v>
      </c>
      <c r="J502">
        <v>878</v>
      </c>
      <c r="K502">
        <v>796</v>
      </c>
      <c r="L502">
        <v>21</v>
      </c>
      <c r="M502">
        <v>17</v>
      </c>
      <c r="N502">
        <v>788</v>
      </c>
      <c r="O502">
        <v>57.7</v>
      </c>
      <c r="P502">
        <v>4.9000000000000004</v>
      </c>
      <c r="Q502" t="s">
        <v>80</v>
      </c>
      <c r="R502" t="s">
        <v>81</v>
      </c>
      <c r="S502" t="s">
        <v>82</v>
      </c>
      <c r="T502">
        <v>0</v>
      </c>
      <c r="U502">
        <v>1</v>
      </c>
      <c r="V502" s="6">
        <v>84.8</v>
      </c>
      <c r="W502" s="6">
        <v>561.08000000000004</v>
      </c>
      <c r="X502" t="s">
        <v>115</v>
      </c>
      <c r="Y502" s="7">
        <f t="shared" si="49"/>
        <v>2.6381909547738693E-2</v>
      </c>
      <c r="Z502" s="7">
        <f t="shared" si="50"/>
        <v>0.98994974874371855</v>
      </c>
      <c r="AA502">
        <f t="shared" si="51"/>
        <v>82</v>
      </c>
      <c r="AB502" s="8">
        <f t="shared" si="52"/>
        <v>1780.8</v>
      </c>
      <c r="AC502">
        <f t="shared" si="53"/>
        <v>33.200000000000003</v>
      </c>
      <c r="AD502" t="str">
        <f t="shared" si="54"/>
        <v>Low</v>
      </c>
      <c r="AE502" t="str">
        <f t="shared" si="55"/>
        <v>No</v>
      </c>
    </row>
    <row r="503" spans="1:31" x14ac:dyDescent="0.35">
      <c r="A503" t="s">
        <v>616</v>
      </c>
      <c r="B503" s="5">
        <v>46258</v>
      </c>
      <c r="C503" t="s">
        <v>565</v>
      </c>
      <c r="D503" t="s">
        <v>22</v>
      </c>
      <c r="E503" t="s">
        <v>93</v>
      </c>
      <c r="F503" t="s">
        <v>30</v>
      </c>
      <c r="G503" t="s">
        <v>79</v>
      </c>
      <c r="H503" t="s">
        <v>37</v>
      </c>
      <c r="I503" t="s">
        <v>48</v>
      </c>
      <c r="J503">
        <v>1227</v>
      </c>
      <c r="K503">
        <v>1034</v>
      </c>
      <c r="L503">
        <v>57</v>
      </c>
      <c r="M503">
        <v>45</v>
      </c>
      <c r="N503">
        <v>1015</v>
      </c>
      <c r="O503">
        <v>67.8</v>
      </c>
      <c r="P503">
        <v>0.3</v>
      </c>
      <c r="Q503" t="s">
        <v>80</v>
      </c>
      <c r="R503" t="s">
        <v>81</v>
      </c>
      <c r="S503" t="s">
        <v>82</v>
      </c>
      <c r="T503">
        <v>9</v>
      </c>
      <c r="U503">
        <v>4</v>
      </c>
      <c r="V503" s="6">
        <v>90.11</v>
      </c>
      <c r="W503" s="6">
        <v>2472.09</v>
      </c>
      <c r="X503" t="s">
        <v>121</v>
      </c>
      <c r="Y503" s="7">
        <f t="shared" si="49"/>
        <v>5.5125725338491298E-2</v>
      </c>
      <c r="Z503" s="7">
        <f t="shared" si="50"/>
        <v>0.98162475822050288</v>
      </c>
      <c r="AA503">
        <f t="shared" si="51"/>
        <v>193</v>
      </c>
      <c r="AB503" s="8">
        <f t="shared" si="52"/>
        <v>5136.2699999999995</v>
      </c>
      <c r="AC503">
        <f t="shared" si="53"/>
        <v>56.3</v>
      </c>
      <c r="AD503" t="str">
        <f t="shared" si="54"/>
        <v>Medium</v>
      </c>
      <c r="AE503" t="str">
        <f t="shared" si="55"/>
        <v>No</v>
      </c>
    </row>
    <row r="504" spans="1:31" x14ac:dyDescent="0.35">
      <c r="A504" t="s">
        <v>617</v>
      </c>
      <c r="B504" s="5">
        <v>46258</v>
      </c>
      <c r="C504" t="s">
        <v>565</v>
      </c>
      <c r="D504" t="s">
        <v>24</v>
      </c>
      <c r="E504" t="s">
        <v>78</v>
      </c>
      <c r="F504" t="s">
        <v>32</v>
      </c>
      <c r="G504" t="s">
        <v>85</v>
      </c>
      <c r="H504" t="s">
        <v>34</v>
      </c>
      <c r="I504" t="s">
        <v>47</v>
      </c>
      <c r="J504">
        <v>1296</v>
      </c>
      <c r="K504">
        <v>1173</v>
      </c>
      <c r="L504">
        <v>39</v>
      </c>
      <c r="M504">
        <v>19</v>
      </c>
      <c r="N504">
        <v>1103</v>
      </c>
      <c r="O504">
        <v>40.6</v>
      </c>
      <c r="P504">
        <v>1.1000000000000001</v>
      </c>
      <c r="Q504" t="s">
        <v>80</v>
      </c>
      <c r="R504" t="s">
        <v>81</v>
      </c>
      <c r="S504" t="s">
        <v>82</v>
      </c>
      <c r="T504">
        <v>10</v>
      </c>
      <c r="U504">
        <v>3</v>
      </c>
      <c r="V504" s="6">
        <v>79.959999999999994</v>
      </c>
      <c r="W504" s="6">
        <v>964.05</v>
      </c>
      <c r="X504" t="s">
        <v>94</v>
      </c>
      <c r="Y504" s="7">
        <f t="shared" si="49"/>
        <v>3.3248081841432228E-2</v>
      </c>
      <c r="Z504" s="7">
        <f t="shared" si="50"/>
        <v>0.94032395566922422</v>
      </c>
      <c r="AA504">
        <f t="shared" si="51"/>
        <v>123</v>
      </c>
      <c r="AB504" s="8">
        <f t="shared" si="52"/>
        <v>3118.4399999999996</v>
      </c>
      <c r="AC504">
        <f t="shared" si="53"/>
        <v>37.4</v>
      </c>
      <c r="AD504" t="str">
        <f t="shared" si="54"/>
        <v>Low</v>
      </c>
      <c r="AE504" t="str">
        <f t="shared" si="55"/>
        <v>No</v>
      </c>
    </row>
    <row r="505" spans="1:31" x14ac:dyDescent="0.35">
      <c r="A505" t="s">
        <v>618</v>
      </c>
      <c r="B505" s="5">
        <v>46258</v>
      </c>
      <c r="C505" t="s">
        <v>565</v>
      </c>
      <c r="D505" t="s">
        <v>20</v>
      </c>
      <c r="E505" t="s">
        <v>78</v>
      </c>
      <c r="F505" t="s">
        <v>29</v>
      </c>
      <c r="G505" t="s">
        <v>85</v>
      </c>
      <c r="H505" t="s">
        <v>37</v>
      </c>
      <c r="I505" t="s">
        <v>45</v>
      </c>
      <c r="J505">
        <v>1393</v>
      </c>
      <c r="K505">
        <v>1241</v>
      </c>
      <c r="L505">
        <v>37</v>
      </c>
      <c r="M505">
        <v>15</v>
      </c>
      <c r="N505">
        <v>1190</v>
      </c>
      <c r="O505">
        <v>75.2</v>
      </c>
      <c r="P505">
        <v>1.1000000000000001</v>
      </c>
      <c r="Q505" t="s">
        <v>80</v>
      </c>
      <c r="R505" t="s">
        <v>81</v>
      </c>
      <c r="S505" t="s">
        <v>82</v>
      </c>
      <c r="T505">
        <v>9</v>
      </c>
      <c r="U505">
        <v>7</v>
      </c>
      <c r="V505" s="6">
        <v>446.87</v>
      </c>
      <c r="W505" s="6">
        <v>10487.1</v>
      </c>
      <c r="X505" t="s">
        <v>121</v>
      </c>
      <c r="Y505" s="7">
        <f t="shared" si="49"/>
        <v>2.9814665592264304E-2</v>
      </c>
      <c r="Z505" s="7">
        <f t="shared" si="50"/>
        <v>0.95890410958904104</v>
      </c>
      <c r="AA505">
        <f t="shared" si="51"/>
        <v>152</v>
      </c>
      <c r="AB505" s="8">
        <f t="shared" si="52"/>
        <v>16534.189999999999</v>
      </c>
      <c r="AC505">
        <f t="shared" si="53"/>
        <v>33.1</v>
      </c>
      <c r="AD505" t="str">
        <f t="shared" si="54"/>
        <v>Low</v>
      </c>
      <c r="AE505" t="str">
        <f t="shared" si="55"/>
        <v>No</v>
      </c>
    </row>
    <row r="506" spans="1:31" x14ac:dyDescent="0.35">
      <c r="A506" t="s">
        <v>619</v>
      </c>
      <c r="B506" s="5">
        <v>46258</v>
      </c>
      <c r="C506" t="s">
        <v>565</v>
      </c>
      <c r="D506" t="s">
        <v>23</v>
      </c>
      <c r="E506" t="s">
        <v>78</v>
      </c>
      <c r="F506" t="s">
        <v>31</v>
      </c>
      <c r="G506" t="s">
        <v>79</v>
      </c>
      <c r="H506" t="s">
        <v>40</v>
      </c>
      <c r="I506" t="s">
        <v>44</v>
      </c>
      <c r="J506">
        <v>1390</v>
      </c>
      <c r="K506">
        <v>1253</v>
      </c>
      <c r="L506">
        <v>35</v>
      </c>
      <c r="M506">
        <v>27</v>
      </c>
      <c r="N506">
        <v>1242</v>
      </c>
      <c r="O506">
        <v>22.1</v>
      </c>
      <c r="P506">
        <v>0</v>
      </c>
      <c r="Q506" t="s">
        <v>80</v>
      </c>
      <c r="R506" t="s">
        <v>81</v>
      </c>
      <c r="S506" t="s">
        <v>82</v>
      </c>
      <c r="T506">
        <v>1</v>
      </c>
      <c r="U506">
        <v>4</v>
      </c>
      <c r="V506" s="6">
        <v>436.28</v>
      </c>
      <c r="W506" s="6">
        <v>8564.61</v>
      </c>
      <c r="X506" t="s">
        <v>121</v>
      </c>
      <c r="Y506" s="7">
        <f t="shared" si="49"/>
        <v>2.7932960893854747E-2</v>
      </c>
      <c r="Z506" s="7">
        <f t="shared" si="50"/>
        <v>0.99122106943335997</v>
      </c>
      <c r="AA506">
        <f t="shared" si="51"/>
        <v>137</v>
      </c>
      <c r="AB506" s="8">
        <f t="shared" si="52"/>
        <v>15269.8</v>
      </c>
      <c r="AC506">
        <f t="shared" si="53"/>
        <v>28.3</v>
      </c>
      <c r="AD506" t="str">
        <f t="shared" si="54"/>
        <v>Low</v>
      </c>
      <c r="AE506" t="str">
        <f t="shared" si="55"/>
        <v>No</v>
      </c>
    </row>
    <row r="507" spans="1:31" x14ac:dyDescent="0.35">
      <c r="A507" t="s">
        <v>620</v>
      </c>
      <c r="B507" s="5">
        <v>46258</v>
      </c>
      <c r="C507" t="s">
        <v>565</v>
      </c>
      <c r="D507" t="s">
        <v>20</v>
      </c>
      <c r="E507" t="s">
        <v>78</v>
      </c>
      <c r="F507" t="s">
        <v>31</v>
      </c>
      <c r="G507" t="s">
        <v>90</v>
      </c>
      <c r="H507" t="s">
        <v>38</v>
      </c>
      <c r="I507" t="s">
        <v>42</v>
      </c>
      <c r="J507">
        <v>926</v>
      </c>
      <c r="K507">
        <v>832</v>
      </c>
      <c r="L507">
        <v>10</v>
      </c>
      <c r="M507">
        <v>5</v>
      </c>
      <c r="N507">
        <v>755</v>
      </c>
      <c r="O507">
        <v>71.3</v>
      </c>
      <c r="P507">
        <v>5.2</v>
      </c>
      <c r="Q507" t="s">
        <v>80</v>
      </c>
      <c r="R507" t="s">
        <v>81</v>
      </c>
      <c r="S507" t="s">
        <v>82</v>
      </c>
      <c r="T507">
        <v>2</v>
      </c>
      <c r="U507">
        <v>2</v>
      </c>
      <c r="V507" s="6">
        <v>253.85</v>
      </c>
      <c r="W507" s="6">
        <v>785.78</v>
      </c>
      <c r="X507" t="s">
        <v>94</v>
      </c>
      <c r="Y507" s="7">
        <f t="shared" si="49"/>
        <v>1.201923076923077E-2</v>
      </c>
      <c r="Z507" s="7">
        <f t="shared" si="50"/>
        <v>0.90745192307692313</v>
      </c>
      <c r="AA507">
        <f t="shared" si="51"/>
        <v>94</v>
      </c>
      <c r="AB507" s="8">
        <f t="shared" si="52"/>
        <v>2538.5</v>
      </c>
      <c r="AC507">
        <f t="shared" si="53"/>
        <v>22.9</v>
      </c>
      <c r="AD507" t="str">
        <f t="shared" si="54"/>
        <v>Low</v>
      </c>
      <c r="AE507" t="str">
        <f t="shared" si="55"/>
        <v>No</v>
      </c>
    </row>
    <row r="508" spans="1:31" x14ac:dyDescent="0.35">
      <c r="A508" t="s">
        <v>621</v>
      </c>
      <c r="B508" s="5">
        <v>46258</v>
      </c>
      <c r="C508" t="s">
        <v>565</v>
      </c>
      <c r="D508" t="s">
        <v>22</v>
      </c>
      <c r="E508" t="s">
        <v>93</v>
      </c>
      <c r="F508" t="s">
        <v>31</v>
      </c>
      <c r="G508" t="s">
        <v>85</v>
      </c>
      <c r="H508" t="s">
        <v>40</v>
      </c>
      <c r="I508" t="s">
        <v>45</v>
      </c>
      <c r="J508">
        <v>1235</v>
      </c>
      <c r="K508">
        <v>1173</v>
      </c>
      <c r="L508">
        <v>20</v>
      </c>
      <c r="M508">
        <v>10</v>
      </c>
      <c r="N508">
        <v>1055</v>
      </c>
      <c r="O508">
        <v>61.8</v>
      </c>
      <c r="P508">
        <v>0</v>
      </c>
      <c r="Q508" t="s">
        <v>80</v>
      </c>
      <c r="R508" t="s">
        <v>81</v>
      </c>
      <c r="S508" t="s">
        <v>82</v>
      </c>
      <c r="T508">
        <v>2</v>
      </c>
      <c r="U508">
        <v>3</v>
      </c>
      <c r="V508" s="6">
        <v>368.02</v>
      </c>
      <c r="W508" s="6">
        <v>3080.58</v>
      </c>
      <c r="X508" t="s">
        <v>94</v>
      </c>
      <c r="Y508" s="7">
        <f t="shared" si="49"/>
        <v>1.7050298380221655E-2</v>
      </c>
      <c r="Z508" s="7">
        <f t="shared" si="50"/>
        <v>0.89940323955669221</v>
      </c>
      <c r="AA508">
        <f t="shared" si="51"/>
        <v>62</v>
      </c>
      <c r="AB508" s="8">
        <f t="shared" si="52"/>
        <v>7360.4</v>
      </c>
      <c r="AC508">
        <f t="shared" si="53"/>
        <v>21.6</v>
      </c>
      <c r="AD508" t="str">
        <f t="shared" si="54"/>
        <v>Low</v>
      </c>
      <c r="AE508" t="str">
        <f t="shared" si="55"/>
        <v>No</v>
      </c>
    </row>
    <row r="509" spans="1:31" x14ac:dyDescent="0.35">
      <c r="A509" t="s">
        <v>622</v>
      </c>
      <c r="B509" s="5">
        <v>46258</v>
      </c>
      <c r="C509" t="s">
        <v>565</v>
      </c>
      <c r="D509" t="s">
        <v>24</v>
      </c>
      <c r="E509" t="s">
        <v>78</v>
      </c>
      <c r="F509" t="s">
        <v>31</v>
      </c>
      <c r="G509" t="s">
        <v>85</v>
      </c>
      <c r="H509" t="s">
        <v>38</v>
      </c>
      <c r="I509" t="s">
        <v>42</v>
      </c>
      <c r="J509">
        <v>934</v>
      </c>
      <c r="K509">
        <v>867</v>
      </c>
      <c r="L509">
        <v>12</v>
      </c>
      <c r="M509">
        <v>9</v>
      </c>
      <c r="N509">
        <v>834</v>
      </c>
      <c r="O509">
        <v>36.1</v>
      </c>
      <c r="P509">
        <v>9.8000000000000007</v>
      </c>
      <c r="Q509" t="s">
        <v>80</v>
      </c>
      <c r="R509" t="s">
        <v>81</v>
      </c>
      <c r="S509" t="s">
        <v>82</v>
      </c>
      <c r="T509">
        <v>1</v>
      </c>
      <c r="U509">
        <v>2</v>
      </c>
      <c r="V509" s="6">
        <v>382.09</v>
      </c>
      <c r="W509" s="6">
        <v>2882.05</v>
      </c>
      <c r="X509" t="s">
        <v>94</v>
      </c>
      <c r="Y509" s="7">
        <f t="shared" si="49"/>
        <v>1.384083044982699E-2</v>
      </c>
      <c r="Z509" s="7">
        <f t="shared" si="50"/>
        <v>0.96193771626297575</v>
      </c>
      <c r="AA509">
        <f t="shared" si="51"/>
        <v>67</v>
      </c>
      <c r="AB509" s="8">
        <f t="shared" si="52"/>
        <v>4585.08</v>
      </c>
      <c r="AC509">
        <f t="shared" si="53"/>
        <v>28.3</v>
      </c>
      <c r="AD509" t="str">
        <f t="shared" si="54"/>
        <v>Low</v>
      </c>
      <c r="AE509" t="str">
        <f t="shared" si="55"/>
        <v>No</v>
      </c>
    </row>
    <row r="510" spans="1:31" x14ac:dyDescent="0.35">
      <c r="A510" t="s">
        <v>623</v>
      </c>
      <c r="B510" s="5">
        <v>46258</v>
      </c>
      <c r="C510" t="s">
        <v>565</v>
      </c>
      <c r="D510" t="s">
        <v>20</v>
      </c>
      <c r="E510" t="s">
        <v>78</v>
      </c>
      <c r="F510" t="s">
        <v>30</v>
      </c>
      <c r="G510" t="s">
        <v>90</v>
      </c>
      <c r="H510" t="s">
        <v>36</v>
      </c>
      <c r="I510" t="s">
        <v>45</v>
      </c>
      <c r="J510">
        <v>1193</v>
      </c>
      <c r="K510">
        <v>1146</v>
      </c>
      <c r="L510">
        <v>43</v>
      </c>
      <c r="M510">
        <v>31</v>
      </c>
      <c r="N510">
        <v>1139</v>
      </c>
      <c r="O510">
        <v>69.5</v>
      </c>
      <c r="P510">
        <v>3.9</v>
      </c>
      <c r="Q510" t="s">
        <v>80</v>
      </c>
      <c r="R510" t="s">
        <v>81</v>
      </c>
      <c r="S510" t="s">
        <v>82</v>
      </c>
      <c r="T510">
        <v>4</v>
      </c>
      <c r="U510">
        <v>3</v>
      </c>
      <c r="V510" s="6">
        <v>314.39</v>
      </c>
      <c r="W510" s="6">
        <v>9792.59</v>
      </c>
      <c r="X510" t="s">
        <v>94</v>
      </c>
      <c r="Y510" s="7">
        <f t="shared" si="49"/>
        <v>3.7521815008726006E-2</v>
      </c>
      <c r="Z510" s="7">
        <f t="shared" si="50"/>
        <v>0.99389179755671897</v>
      </c>
      <c r="AA510">
        <f t="shared" si="51"/>
        <v>47</v>
      </c>
      <c r="AB510" s="8">
        <f t="shared" si="52"/>
        <v>13518.769999999999</v>
      </c>
      <c r="AC510">
        <f t="shared" si="53"/>
        <v>42.9</v>
      </c>
      <c r="AD510" t="str">
        <f t="shared" si="54"/>
        <v>Medium</v>
      </c>
      <c r="AE510" t="str">
        <f t="shared" si="55"/>
        <v>No</v>
      </c>
    </row>
    <row r="511" spans="1:31" x14ac:dyDescent="0.35">
      <c r="A511" t="s">
        <v>624</v>
      </c>
      <c r="B511" s="5">
        <v>46258</v>
      </c>
      <c r="C511" t="s">
        <v>565</v>
      </c>
      <c r="D511" t="s">
        <v>20</v>
      </c>
      <c r="E511" t="s">
        <v>78</v>
      </c>
      <c r="F511" t="s">
        <v>29</v>
      </c>
      <c r="G511" t="s">
        <v>79</v>
      </c>
      <c r="H511" t="s">
        <v>39</v>
      </c>
      <c r="I511" t="s">
        <v>48</v>
      </c>
      <c r="J511">
        <v>1346</v>
      </c>
      <c r="K511">
        <v>1184</v>
      </c>
      <c r="L511">
        <v>16</v>
      </c>
      <c r="M511">
        <v>7</v>
      </c>
      <c r="N511">
        <v>1122</v>
      </c>
      <c r="O511">
        <v>69.900000000000006</v>
      </c>
      <c r="P511">
        <v>11.4</v>
      </c>
      <c r="Q511" t="s">
        <v>80</v>
      </c>
      <c r="R511" t="s">
        <v>81</v>
      </c>
      <c r="S511" t="s">
        <v>82</v>
      </c>
      <c r="T511">
        <v>2</v>
      </c>
      <c r="U511">
        <v>1</v>
      </c>
      <c r="V511" s="6">
        <v>242.6</v>
      </c>
      <c r="W511" s="6">
        <v>1769.66</v>
      </c>
      <c r="X511" t="s">
        <v>115</v>
      </c>
      <c r="Y511" s="7">
        <f t="shared" si="49"/>
        <v>1.3513513513513514E-2</v>
      </c>
      <c r="Z511" s="7">
        <f t="shared" si="50"/>
        <v>0.94763513513513509</v>
      </c>
      <c r="AA511">
        <f t="shared" si="51"/>
        <v>162</v>
      </c>
      <c r="AB511" s="8">
        <f t="shared" si="52"/>
        <v>3881.6</v>
      </c>
      <c r="AC511">
        <f t="shared" si="53"/>
        <v>30.7</v>
      </c>
      <c r="AD511" t="str">
        <f t="shared" si="54"/>
        <v>Low</v>
      </c>
      <c r="AE511" t="str">
        <f t="shared" si="55"/>
        <v>No</v>
      </c>
    </row>
    <row r="512" spans="1:31" x14ac:dyDescent="0.35">
      <c r="A512" t="s">
        <v>625</v>
      </c>
      <c r="B512" s="5">
        <v>46265</v>
      </c>
      <c r="C512" t="s">
        <v>565</v>
      </c>
      <c r="D512" t="s">
        <v>25</v>
      </c>
      <c r="E512" t="s">
        <v>89</v>
      </c>
      <c r="F512" t="s">
        <v>29</v>
      </c>
      <c r="G512" t="s">
        <v>90</v>
      </c>
      <c r="H512" t="s">
        <v>39</v>
      </c>
      <c r="I512" t="s">
        <v>42</v>
      </c>
      <c r="J512">
        <v>1135</v>
      </c>
      <c r="K512">
        <v>1051</v>
      </c>
      <c r="L512">
        <v>27</v>
      </c>
      <c r="M512">
        <v>16</v>
      </c>
      <c r="N512">
        <v>948</v>
      </c>
      <c r="O512">
        <v>55.9</v>
      </c>
      <c r="P512">
        <v>0</v>
      </c>
      <c r="Q512" t="s">
        <v>80</v>
      </c>
      <c r="R512" t="s">
        <v>81</v>
      </c>
      <c r="S512" t="s">
        <v>82</v>
      </c>
      <c r="T512">
        <v>5</v>
      </c>
      <c r="U512">
        <v>2</v>
      </c>
      <c r="V512" s="6">
        <v>284.73</v>
      </c>
      <c r="W512" s="6">
        <v>2174.25</v>
      </c>
      <c r="X512" t="s">
        <v>94</v>
      </c>
      <c r="Y512" s="7">
        <f t="shared" si="49"/>
        <v>2.5689819219790674E-2</v>
      </c>
      <c r="Z512" s="7">
        <f t="shared" si="50"/>
        <v>0.90199809705042822</v>
      </c>
      <c r="AA512">
        <f t="shared" si="51"/>
        <v>84</v>
      </c>
      <c r="AB512" s="8">
        <f t="shared" si="52"/>
        <v>7687.7100000000009</v>
      </c>
      <c r="AC512">
        <f t="shared" si="53"/>
        <v>30.1</v>
      </c>
      <c r="AD512" t="str">
        <f t="shared" si="54"/>
        <v>Low</v>
      </c>
      <c r="AE512" t="str">
        <f t="shared" si="55"/>
        <v>No</v>
      </c>
    </row>
    <row r="513" spans="1:31" x14ac:dyDescent="0.35">
      <c r="A513" t="s">
        <v>626</v>
      </c>
      <c r="B513" s="5">
        <v>46265</v>
      </c>
      <c r="C513" t="s">
        <v>565</v>
      </c>
      <c r="D513" t="s">
        <v>23</v>
      </c>
      <c r="E513" t="s">
        <v>78</v>
      </c>
      <c r="F513" t="s">
        <v>30</v>
      </c>
      <c r="G513" t="s">
        <v>85</v>
      </c>
      <c r="H513" t="s">
        <v>34</v>
      </c>
      <c r="I513" t="s">
        <v>44</v>
      </c>
      <c r="J513">
        <v>1055</v>
      </c>
      <c r="K513">
        <v>916</v>
      </c>
      <c r="L513">
        <v>9</v>
      </c>
      <c r="M513">
        <v>4</v>
      </c>
      <c r="N513">
        <v>826</v>
      </c>
      <c r="O513">
        <v>33.200000000000003</v>
      </c>
      <c r="P513">
        <v>7.2</v>
      </c>
      <c r="Q513" t="s">
        <v>96</v>
      </c>
      <c r="R513" t="s">
        <v>81</v>
      </c>
      <c r="S513" t="s">
        <v>82</v>
      </c>
      <c r="T513">
        <v>0</v>
      </c>
      <c r="U513">
        <v>2</v>
      </c>
      <c r="V513" s="6">
        <v>420.69</v>
      </c>
      <c r="W513" s="6">
        <v>1000.88</v>
      </c>
      <c r="X513" t="s">
        <v>94</v>
      </c>
      <c r="Y513" s="7">
        <f t="shared" si="49"/>
        <v>9.8253275109170309E-3</v>
      </c>
      <c r="Z513" s="7">
        <f t="shared" si="50"/>
        <v>0.90174672489082974</v>
      </c>
      <c r="AA513">
        <f t="shared" si="51"/>
        <v>139</v>
      </c>
      <c r="AB513" s="8">
        <f t="shared" si="52"/>
        <v>3786.21</v>
      </c>
      <c r="AC513">
        <f t="shared" si="53"/>
        <v>33.6</v>
      </c>
      <c r="AD513" t="str">
        <f t="shared" si="54"/>
        <v>Low</v>
      </c>
      <c r="AE513" t="str">
        <f t="shared" si="55"/>
        <v>No</v>
      </c>
    </row>
    <row r="514" spans="1:31" x14ac:dyDescent="0.35">
      <c r="A514" t="s">
        <v>627</v>
      </c>
      <c r="B514" s="5">
        <v>46265</v>
      </c>
      <c r="C514" t="s">
        <v>565</v>
      </c>
      <c r="D514" t="s">
        <v>22</v>
      </c>
      <c r="E514" t="s">
        <v>93</v>
      </c>
      <c r="F514" t="s">
        <v>29</v>
      </c>
      <c r="G514" t="s">
        <v>85</v>
      </c>
      <c r="H514" t="s">
        <v>38</v>
      </c>
      <c r="I514" t="s">
        <v>45</v>
      </c>
      <c r="J514">
        <v>1128</v>
      </c>
      <c r="K514">
        <v>984</v>
      </c>
      <c r="L514">
        <v>30</v>
      </c>
      <c r="M514">
        <v>13</v>
      </c>
      <c r="N514">
        <v>926</v>
      </c>
      <c r="O514">
        <v>73</v>
      </c>
      <c r="P514">
        <v>12.2</v>
      </c>
      <c r="Q514" t="s">
        <v>80</v>
      </c>
      <c r="R514" t="s">
        <v>81</v>
      </c>
      <c r="S514" t="s">
        <v>82</v>
      </c>
      <c r="T514">
        <v>3</v>
      </c>
      <c r="U514">
        <v>4</v>
      </c>
      <c r="V514" s="6">
        <v>40.51</v>
      </c>
      <c r="W514" s="6">
        <v>685.29</v>
      </c>
      <c r="X514" t="s">
        <v>115</v>
      </c>
      <c r="Y514" s="7">
        <f t="shared" ref="Y514:Y519" si="56">IFERROR(L514/K514,0)</f>
        <v>3.048780487804878E-2</v>
      </c>
      <c r="Z514" s="7">
        <f t="shared" ref="Z514:Z519" si="57">IFERROR(N514/K514,0)</f>
        <v>0.94105691056910568</v>
      </c>
      <c r="AA514">
        <f t="shared" ref="AA514:AA519" si="58">J514-K514</f>
        <v>144</v>
      </c>
      <c r="AB514" s="8">
        <f t="shared" ref="AB514:AB519" si="59">L514*V514</f>
        <v>1215.3</v>
      </c>
      <c r="AC514">
        <f t="shared" ref="AC514:AC519" si="60">ROUND(MIN(100,(Y514*1000)+(1-Z514)*45+(P514*1.3)+IF(Q514="Late",18,IF(Q514="Pending",10,0))+IF(R514="Yes",20,0)+IF(S514="Decision Required",12,0)),1)</f>
        <v>49</v>
      </c>
      <c r="AD514" t="str">
        <f t="shared" ref="AD514:AD577" si="61">IF(AC514&gt;=65,"High",IF(AC514&gt;=40,"Medium","Low"))</f>
        <v>Medium</v>
      </c>
      <c r="AE514" t="str">
        <f t="shared" ref="AE514:AE577" si="62">IF(OR(AD514="High",Q514="Late",R514="Yes",S514="Decision Required"),"Yes","No")</f>
        <v>No</v>
      </c>
    </row>
    <row r="515" spans="1:31" x14ac:dyDescent="0.35">
      <c r="A515" t="s">
        <v>628</v>
      </c>
      <c r="B515" s="5">
        <v>46265</v>
      </c>
      <c r="C515" t="s">
        <v>565</v>
      </c>
      <c r="D515" t="s">
        <v>23</v>
      </c>
      <c r="E515" t="s">
        <v>78</v>
      </c>
      <c r="F515" t="s">
        <v>29</v>
      </c>
      <c r="G515" t="s">
        <v>90</v>
      </c>
      <c r="H515" t="s">
        <v>39</v>
      </c>
      <c r="I515" t="s">
        <v>45</v>
      </c>
      <c r="J515">
        <v>879</v>
      </c>
      <c r="K515">
        <v>778</v>
      </c>
      <c r="L515">
        <v>29</v>
      </c>
      <c r="M515">
        <v>22</v>
      </c>
      <c r="N515">
        <v>715</v>
      </c>
      <c r="O515">
        <v>71.900000000000006</v>
      </c>
      <c r="P515">
        <v>3</v>
      </c>
      <c r="Q515" t="s">
        <v>80</v>
      </c>
      <c r="R515" t="s">
        <v>81</v>
      </c>
      <c r="S515" t="s">
        <v>82</v>
      </c>
      <c r="T515">
        <v>6</v>
      </c>
      <c r="U515">
        <v>1</v>
      </c>
      <c r="V515" s="6">
        <v>38.799999999999997</v>
      </c>
      <c r="W515" s="6">
        <v>367.28</v>
      </c>
      <c r="X515" t="s">
        <v>94</v>
      </c>
      <c r="Y515" s="7">
        <f t="shared" si="56"/>
        <v>3.7275064267352186E-2</v>
      </c>
      <c r="Z515" s="7">
        <f t="shared" si="57"/>
        <v>0.91902313624678666</v>
      </c>
      <c r="AA515">
        <f t="shared" si="58"/>
        <v>101</v>
      </c>
      <c r="AB515" s="8">
        <f t="shared" si="59"/>
        <v>1125.1999999999998</v>
      </c>
      <c r="AC515">
        <f t="shared" si="60"/>
        <v>44.8</v>
      </c>
      <c r="AD515" t="str">
        <f t="shared" si="61"/>
        <v>Medium</v>
      </c>
      <c r="AE515" t="str">
        <f t="shared" si="62"/>
        <v>No</v>
      </c>
    </row>
    <row r="516" spans="1:31" x14ac:dyDescent="0.35">
      <c r="A516" t="s">
        <v>629</v>
      </c>
      <c r="B516" s="5">
        <v>46265</v>
      </c>
      <c r="C516" t="s">
        <v>565</v>
      </c>
      <c r="D516" t="s">
        <v>22</v>
      </c>
      <c r="E516" t="s">
        <v>93</v>
      </c>
      <c r="F516" t="s">
        <v>29</v>
      </c>
      <c r="G516" t="s">
        <v>79</v>
      </c>
      <c r="H516" t="s">
        <v>40</v>
      </c>
      <c r="I516" t="s">
        <v>48</v>
      </c>
      <c r="J516">
        <v>798</v>
      </c>
      <c r="K516">
        <v>740</v>
      </c>
      <c r="L516">
        <v>24</v>
      </c>
      <c r="M516">
        <v>11</v>
      </c>
      <c r="N516">
        <v>715</v>
      </c>
      <c r="O516">
        <v>36.200000000000003</v>
      </c>
      <c r="P516">
        <v>3.7</v>
      </c>
      <c r="Q516" t="s">
        <v>86</v>
      </c>
      <c r="R516" t="s">
        <v>81</v>
      </c>
      <c r="S516" t="s">
        <v>82</v>
      </c>
      <c r="T516">
        <v>1</v>
      </c>
      <c r="U516">
        <v>0</v>
      </c>
      <c r="V516" s="6">
        <v>347.54</v>
      </c>
      <c r="W516" s="6">
        <v>5365</v>
      </c>
      <c r="X516" t="s">
        <v>94</v>
      </c>
      <c r="Y516" s="7">
        <f t="shared" si="56"/>
        <v>3.2432432432432434E-2</v>
      </c>
      <c r="Z516" s="7">
        <f t="shared" si="57"/>
        <v>0.96621621621621623</v>
      </c>
      <c r="AA516">
        <f t="shared" si="58"/>
        <v>58</v>
      </c>
      <c r="AB516" s="8">
        <f t="shared" si="59"/>
        <v>8340.9600000000009</v>
      </c>
      <c r="AC516">
        <f t="shared" si="60"/>
        <v>56.8</v>
      </c>
      <c r="AD516" t="str">
        <f t="shared" si="61"/>
        <v>Medium</v>
      </c>
      <c r="AE516" t="str">
        <f t="shared" si="62"/>
        <v>Yes</v>
      </c>
    </row>
    <row r="517" spans="1:31" x14ac:dyDescent="0.35">
      <c r="A517" t="s">
        <v>630</v>
      </c>
      <c r="B517" s="5">
        <v>46265</v>
      </c>
      <c r="C517" t="s">
        <v>565</v>
      </c>
      <c r="D517" t="s">
        <v>22</v>
      </c>
      <c r="E517" t="s">
        <v>93</v>
      </c>
      <c r="F517" t="s">
        <v>27</v>
      </c>
      <c r="G517" t="s">
        <v>90</v>
      </c>
      <c r="H517" t="s">
        <v>39</v>
      </c>
      <c r="I517" t="s">
        <v>44</v>
      </c>
      <c r="J517">
        <v>1068</v>
      </c>
      <c r="K517">
        <v>1030</v>
      </c>
      <c r="L517">
        <v>23</v>
      </c>
      <c r="M517">
        <v>15</v>
      </c>
      <c r="N517">
        <v>1018</v>
      </c>
      <c r="O517">
        <v>56.6</v>
      </c>
      <c r="P517">
        <v>0</v>
      </c>
      <c r="Q517" t="s">
        <v>80</v>
      </c>
      <c r="R517" t="s">
        <v>81</v>
      </c>
      <c r="S517" t="s">
        <v>82</v>
      </c>
      <c r="T517">
        <v>1</v>
      </c>
      <c r="U517">
        <v>1</v>
      </c>
      <c r="V517" s="6">
        <v>454.97</v>
      </c>
      <c r="W517" s="6">
        <v>2681.02</v>
      </c>
      <c r="X517" t="s">
        <v>94</v>
      </c>
      <c r="Y517" s="7">
        <f t="shared" si="56"/>
        <v>2.2330097087378639E-2</v>
      </c>
      <c r="Z517" s="7">
        <f t="shared" si="57"/>
        <v>0.98834951456310682</v>
      </c>
      <c r="AA517">
        <f t="shared" si="58"/>
        <v>38</v>
      </c>
      <c r="AB517" s="8">
        <f t="shared" si="59"/>
        <v>10464.310000000001</v>
      </c>
      <c r="AC517">
        <f t="shared" si="60"/>
        <v>22.9</v>
      </c>
      <c r="AD517" t="str">
        <f t="shared" si="61"/>
        <v>Low</v>
      </c>
      <c r="AE517" t="str">
        <f t="shared" si="62"/>
        <v>No</v>
      </c>
    </row>
    <row r="518" spans="1:31" x14ac:dyDescent="0.35">
      <c r="A518" t="s">
        <v>631</v>
      </c>
      <c r="B518" s="5">
        <v>46265</v>
      </c>
      <c r="C518" t="s">
        <v>565</v>
      </c>
      <c r="D518" t="s">
        <v>24</v>
      </c>
      <c r="E518" t="s">
        <v>78</v>
      </c>
      <c r="F518" t="s">
        <v>30</v>
      </c>
      <c r="G518" t="s">
        <v>90</v>
      </c>
      <c r="H518" t="s">
        <v>36</v>
      </c>
      <c r="I518" t="s">
        <v>47</v>
      </c>
      <c r="J518">
        <v>927</v>
      </c>
      <c r="K518">
        <v>949</v>
      </c>
      <c r="L518">
        <v>23</v>
      </c>
      <c r="M518">
        <v>15</v>
      </c>
      <c r="N518">
        <v>848</v>
      </c>
      <c r="O518">
        <v>34.4</v>
      </c>
      <c r="P518">
        <v>5.4</v>
      </c>
      <c r="Q518" t="s">
        <v>80</v>
      </c>
      <c r="R518" t="s">
        <v>81</v>
      </c>
      <c r="S518" t="s">
        <v>82</v>
      </c>
      <c r="T518">
        <v>3</v>
      </c>
      <c r="U518">
        <v>3</v>
      </c>
      <c r="V518" s="6">
        <v>82.54</v>
      </c>
      <c r="W518" s="6">
        <v>580.22</v>
      </c>
      <c r="X518" t="s">
        <v>94</v>
      </c>
      <c r="Y518" s="7">
        <f t="shared" si="56"/>
        <v>2.4236037934668071E-2</v>
      </c>
      <c r="Z518" s="7">
        <f t="shared" si="57"/>
        <v>0.89357218124341409</v>
      </c>
      <c r="AA518">
        <f t="shared" si="58"/>
        <v>-22</v>
      </c>
      <c r="AB518" s="8">
        <f t="shared" si="59"/>
        <v>1898.42</v>
      </c>
      <c r="AC518">
        <f t="shared" si="60"/>
        <v>36</v>
      </c>
      <c r="AD518" t="str">
        <f t="shared" si="61"/>
        <v>Low</v>
      </c>
      <c r="AE518" t="str">
        <f t="shared" si="62"/>
        <v>No</v>
      </c>
    </row>
    <row r="519" spans="1:31" x14ac:dyDescent="0.35">
      <c r="A519" t="s">
        <v>632</v>
      </c>
      <c r="B519" s="5">
        <v>46265</v>
      </c>
      <c r="C519" t="s">
        <v>565</v>
      </c>
      <c r="D519" t="s">
        <v>23</v>
      </c>
      <c r="E519" t="s">
        <v>78</v>
      </c>
      <c r="F519" t="s">
        <v>27</v>
      </c>
      <c r="G519" t="s">
        <v>90</v>
      </c>
      <c r="H519" t="s">
        <v>39</v>
      </c>
      <c r="I519" t="s">
        <v>42</v>
      </c>
      <c r="J519">
        <v>1001</v>
      </c>
      <c r="K519">
        <v>895</v>
      </c>
      <c r="L519">
        <v>20</v>
      </c>
      <c r="M519">
        <v>14</v>
      </c>
      <c r="N519">
        <v>849</v>
      </c>
      <c r="O519">
        <v>22.3</v>
      </c>
      <c r="P519">
        <v>5.9</v>
      </c>
      <c r="Q519" t="s">
        <v>80</v>
      </c>
      <c r="R519" t="s">
        <v>81</v>
      </c>
      <c r="S519" t="s">
        <v>82</v>
      </c>
      <c r="T519">
        <v>2</v>
      </c>
      <c r="U519">
        <v>2</v>
      </c>
      <c r="V519" s="6">
        <v>278.54000000000002</v>
      </c>
      <c r="W519" s="6">
        <v>4072.57</v>
      </c>
      <c r="X519" t="s">
        <v>94</v>
      </c>
      <c r="Y519" s="7">
        <f t="shared" si="56"/>
        <v>2.23463687150838E-2</v>
      </c>
      <c r="Z519" s="7">
        <f t="shared" si="57"/>
        <v>0.94860335195530732</v>
      </c>
      <c r="AA519">
        <f t="shared" si="58"/>
        <v>106</v>
      </c>
      <c r="AB519" s="8">
        <f t="shared" si="59"/>
        <v>5570.8</v>
      </c>
      <c r="AC519">
        <f t="shared" si="60"/>
        <v>32.299999999999997</v>
      </c>
      <c r="AD519" t="str">
        <f t="shared" si="61"/>
        <v>Low</v>
      </c>
      <c r="AE519" t="str">
        <f t="shared" si="62"/>
        <v>No</v>
      </c>
    </row>
    <row r="520" spans="1:31" x14ac:dyDescent="0.35">
      <c r="A520" t="s">
        <v>221</v>
      </c>
      <c r="B520" s="5">
        <v>46076</v>
      </c>
      <c r="C520" t="s">
        <v>162</v>
      </c>
      <c r="D520" t="s">
        <v>24</v>
      </c>
      <c r="E520" t="s">
        <v>78</v>
      </c>
      <c r="F520" t="s">
        <v>32</v>
      </c>
      <c r="G520" t="s">
        <v>90</v>
      </c>
      <c r="H520" t="s">
        <v>38</v>
      </c>
      <c r="I520" t="s">
        <v>45</v>
      </c>
      <c r="J520">
        <v>1481</v>
      </c>
      <c r="K520">
        <v>1581</v>
      </c>
      <c r="L520">
        <v>77</v>
      </c>
      <c r="M520">
        <v>36</v>
      </c>
      <c r="N520">
        <v>1488</v>
      </c>
      <c r="O520">
        <v>43.2</v>
      </c>
      <c r="P520">
        <v>5.5</v>
      </c>
      <c r="Q520" t="s">
        <v>80</v>
      </c>
      <c r="R520" t="s">
        <v>81</v>
      </c>
      <c r="S520" t="s">
        <v>82</v>
      </c>
      <c r="T520">
        <v>17</v>
      </c>
      <c r="U520">
        <v>6</v>
      </c>
      <c r="V520" s="6">
        <v>182.99</v>
      </c>
      <c r="W520" s="6">
        <v>9128.33</v>
      </c>
      <c r="X520" t="s">
        <v>94</v>
      </c>
      <c r="Y520" s="7">
        <f>IFERROR(L120/K120,0)</f>
        <v>4.8703352308665404E-2</v>
      </c>
      <c r="Z520" s="7">
        <f>IFERROR(N120/K120,0)</f>
        <v>0.94117647058823528</v>
      </c>
      <c r="AA520">
        <f>J120-K120</f>
        <v>-100</v>
      </c>
      <c r="AB520" s="8">
        <f>L120*V120</f>
        <v>14090.230000000001</v>
      </c>
      <c r="AC520">
        <f>ROUND(MIN(100,(Y120*1000)+(1-Z120)*45+(P120*1.3)+IF(Q120="Late",18,IF(Q120="Pending",10,0))+IF(R120="Yes",20,0)+IF(S120="Decision Required",12,0)),1)</f>
        <v>58.5</v>
      </c>
      <c r="AD520" t="str">
        <f>IF(AC120&gt;=65,"High",IF(AC120&gt;=40,"Medium","Low"))</f>
        <v>Medium</v>
      </c>
      <c r="AE520" t="str">
        <f>IF(OR(AD120="High",Q120="Late",R120="Yes",S120="Decision Required"),"Yes","No")</f>
        <v>No</v>
      </c>
    </row>
    <row r="521" spans="1:31" x14ac:dyDescent="0.35">
      <c r="A521" t="s">
        <v>633</v>
      </c>
      <c r="B521" s="5">
        <v>46265</v>
      </c>
      <c r="C521" t="s">
        <v>565</v>
      </c>
      <c r="D521" t="s">
        <v>24</v>
      </c>
      <c r="E521" t="s">
        <v>78</v>
      </c>
      <c r="F521" t="s">
        <v>30</v>
      </c>
      <c r="G521" t="s">
        <v>79</v>
      </c>
      <c r="H521" t="s">
        <v>36</v>
      </c>
      <c r="I521" t="s">
        <v>44</v>
      </c>
      <c r="J521">
        <v>986</v>
      </c>
      <c r="K521">
        <v>927</v>
      </c>
      <c r="L521">
        <v>18</v>
      </c>
      <c r="M521">
        <v>14</v>
      </c>
      <c r="N521">
        <v>914</v>
      </c>
      <c r="O521">
        <v>41.3</v>
      </c>
      <c r="P521">
        <v>4.2</v>
      </c>
      <c r="Q521" t="s">
        <v>80</v>
      </c>
      <c r="R521" t="s">
        <v>81</v>
      </c>
      <c r="S521" t="s">
        <v>82</v>
      </c>
      <c r="T521">
        <v>0</v>
      </c>
      <c r="U521">
        <v>6</v>
      </c>
      <c r="V521" s="6">
        <v>151.19999999999999</v>
      </c>
      <c r="W521" s="6">
        <v>1809.19</v>
      </c>
      <c r="X521" t="s">
        <v>115</v>
      </c>
      <c r="Y521" s="7">
        <f t="shared" ref="Y521:Y552" si="63">IFERROR(L521/K521,0)</f>
        <v>1.9417475728155338E-2</v>
      </c>
      <c r="Z521" s="7">
        <f t="shared" ref="Z521:Z552" si="64">IFERROR(N521/K521,0)</f>
        <v>0.98597626752966561</v>
      </c>
      <c r="AA521">
        <f t="shared" ref="AA521:AA552" si="65">J521-K521</f>
        <v>59</v>
      </c>
      <c r="AB521" s="8">
        <f t="shared" ref="AB521:AB552" si="66">L521*V521</f>
        <v>2721.6</v>
      </c>
      <c r="AC521">
        <f t="shared" ref="AC521:AC552" si="67">ROUND(MIN(100,(Y521*1000)+(1-Z521)*45+(P521*1.3)+IF(Q521="Late",18,IF(Q521="Pending",10,0))+IF(R521="Yes",20,0)+IF(S521="Decision Required",12,0)),1)</f>
        <v>25.5</v>
      </c>
      <c r="AD521" t="str">
        <f t="shared" ref="AD521:AD552" si="68">IF(AC521&gt;=65,"High",IF(AC521&gt;=40,"Medium","Low"))</f>
        <v>Low</v>
      </c>
      <c r="AE521" t="str">
        <f t="shared" ref="AE521:AE552" si="69">IF(OR(AD521="High",Q521="Late",R521="Yes",S521="Decision Required"),"Yes","No")</f>
        <v>No</v>
      </c>
    </row>
    <row r="522" spans="1:31" x14ac:dyDescent="0.35">
      <c r="A522" t="s">
        <v>634</v>
      </c>
      <c r="B522" s="5">
        <v>46265</v>
      </c>
      <c r="C522" t="s">
        <v>565</v>
      </c>
      <c r="D522" t="s">
        <v>23</v>
      </c>
      <c r="E522" t="s">
        <v>78</v>
      </c>
      <c r="F522" t="s">
        <v>31</v>
      </c>
      <c r="G522" t="s">
        <v>79</v>
      </c>
      <c r="H522" t="s">
        <v>38</v>
      </c>
      <c r="I522" t="s">
        <v>48</v>
      </c>
      <c r="J522">
        <v>1350</v>
      </c>
      <c r="K522">
        <v>1157</v>
      </c>
      <c r="L522">
        <v>25</v>
      </c>
      <c r="M522">
        <v>9</v>
      </c>
      <c r="N522">
        <v>1109</v>
      </c>
      <c r="O522">
        <v>63.8</v>
      </c>
      <c r="P522">
        <v>8.4</v>
      </c>
      <c r="Q522" t="s">
        <v>96</v>
      </c>
      <c r="R522" t="s">
        <v>81</v>
      </c>
      <c r="S522" t="s">
        <v>82</v>
      </c>
      <c r="T522">
        <v>5</v>
      </c>
      <c r="U522">
        <v>3</v>
      </c>
      <c r="V522" s="6">
        <v>131.21</v>
      </c>
      <c r="W522" s="6">
        <v>1267.05</v>
      </c>
      <c r="X522" t="s">
        <v>94</v>
      </c>
      <c r="Y522" s="7">
        <f t="shared" si="63"/>
        <v>2.1607605877268798E-2</v>
      </c>
      <c r="Z522" s="7">
        <f t="shared" si="64"/>
        <v>0.95851339671564395</v>
      </c>
      <c r="AA522">
        <f t="shared" si="65"/>
        <v>193</v>
      </c>
      <c r="AB522" s="8">
        <f t="shared" si="66"/>
        <v>3280.25</v>
      </c>
      <c r="AC522">
        <f t="shared" si="67"/>
        <v>44.4</v>
      </c>
      <c r="AD522" t="str">
        <f t="shared" si="68"/>
        <v>Medium</v>
      </c>
      <c r="AE522" t="str">
        <f t="shared" si="69"/>
        <v>No</v>
      </c>
    </row>
    <row r="523" spans="1:31" x14ac:dyDescent="0.35">
      <c r="A523" t="s">
        <v>635</v>
      </c>
      <c r="B523" s="5">
        <v>46265</v>
      </c>
      <c r="C523" t="s">
        <v>565</v>
      </c>
      <c r="D523" t="s">
        <v>24</v>
      </c>
      <c r="E523" t="s">
        <v>78</v>
      </c>
      <c r="F523" t="s">
        <v>27</v>
      </c>
      <c r="G523" t="s">
        <v>90</v>
      </c>
      <c r="H523" t="s">
        <v>37</v>
      </c>
      <c r="I523" t="s">
        <v>47</v>
      </c>
      <c r="J523">
        <v>839</v>
      </c>
      <c r="K523">
        <v>825</v>
      </c>
      <c r="L523">
        <v>28</v>
      </c>
      <c r="M523">
        <v>16</v>
      </c>
      <c r="N523">
        <v>806</v>
      </c>
      <c r="O523">
        <v>29.2</v>
      </c>
      <c r="P523">
        <v>15</v>
      </c>
      <c r="Q523" t="s">
        <v>86</v>
      </c>
      <c r="R523" t="s">
        <v>81</v>
      </c>
      <c r="S523" t="s">
        <v>138</v>
      </c>
      <c r="T523">
        <v>4</v>
      </c>
      <c r="U523">
        <v>3</v>
      </c>
      <c r="V523" s="6">
        <v>134.59</v>
      </c>
      <c r="W523" s="6">
        <v>1463.87</v>
      </c>
      <c r="X523" t="s">
        <v>94</v>
      </c>
      <c r="Y523" s="7">
        <f t="shared" si="63"/>
        <v>3.3939393939393943E-2</v>
      </c>
      <c r="Z523" s="7">
        <f t="shared" si="64"/>
        <v>0.97696969696969693</v>
      </c>
      <c r="AA523">
        <f t="shared" si="65"/>
        <v>14</v>
      </c>
      <c r="AB523" s="8">
        <f t="shared" si="66"/>
        <v>3768.52</v>
      </c>
      <c r="AC523">
        <f t="shared" si="67"/>
        <v>84.5</v>
      </c>
      <c r="AD523" t="str">
        <f t="shared" si="68"/>
        <v>High</v>
      </c>
      <c r="AE523" t="str">
        <f t="shared" si="69"/>
        <v>Yes</v>
      </c>
    </row>
    <row r="524" spans="1:31" x14ac:dyDescent="0.35">
      <c r="A524" t="s">
        <v>636</v>
      </c>
      <c r="B524" s="5">
        <v>46265</v>
      </c>
      <c r="C524" t="s">
        <v>565</v>
      </c>
      <c r="D524" t="s">
        <v>24</v>
      </c>
      <c r="E524" t="s">
        <v>78</v>
      </c>
      <c r="F524" t="s">
        <v>30</v>
      </c>
      <c r="G524" t="s">
        <v>90</v>
      </c>
      <c r="H524" t="s">
        <v>38</v>
      </c>
      <c r="I524" t="s">
        <v>42</v>
      </c>
      <c r="J524">
        <v>862</v>
      </c>
      <c r="K524">
        <v>771</v>
      </c>
      <c r="L524">
        <v>22</v>
      </c>
      <c r="M524">
        <v>12</v>
      </c>
      <c r="N524">
        <v>692</v>
      </c>
      <c r="O524">
        <v>62</v>
      </c>
      <c r="P524">
        <v>9.8000000000000007</v>
      </c>
      <c r="Q524" t="s">
        <v>86</v>
      </c>
      <c r="R524" t="s">
        <v>81</v>
      </c>
      <c r="S524" t="s">
        <v>82</v>
      </c>
      <c r="T524">
        <v>3</v>
      </c>
      <c r="U524">
        <v>0</v>
      </c>
      <c r="V524" s="6">
        <v>207.4</v>
      </c>
      <c r="W524" s="6">
        <v>3519.96</v>
      </c>
      <c r="X524" t="s">
        <v>94</v>
      </c>
      <c r="Y524" s="7">
        <f t="shared" si="63"/>
        <v>2.8534370946822308E-2</v>
      </c>
      <c r="Z524" s="7">
        <f t="shared" si="64"/>
        <v>0.89753566796368356</v>
      </c>
      <c r="AA524">
        <f t="shared" si="65"/>
        <v>91</v>
      </c>
      <c r="AB524" s="8">
        <f t="shared" si="66"/>
        <v>4562.8</v>
      </c>
      <c r="AC524">
        <f t="shared" si="67"/>
        <v>63.9</v>
      </c>
      <c r="AD524" t="str">
        <f t="shared" si="68"/>
        <v>Medium</v>
      </c>
      <c r="AE524" t="str">
        <f t="shared" si="69"/>
        <v>Yes</v>
      </c>
    </row>
    <row r="525" spans="1:31" x14ac:dyDescent="0.35">
      <c r="A525" t="s">
        <v>637</v>
      </c>
      <c r="B525" s="5">
        <v>46265</v>
      </c>
      <c r="C525" t="s">
        <v>565</v>
      </c>
      <c r="D525" t="s">
        <v>25</v>
      </c>
      <c r="E525" t="s">
        <v>89</v>
      </c>
      <c r="F525" t="s">
        <v>29</v>
      </c>
      <c r="G525" t="s">
        <v>79</v>
      </c>
      <c r="H525" t="s">
        <v>36</v>
      </c>
      <c r="I525" t="s">
        <v>47</v>
      </c>
      <c r="J525">
        <v>975</v>
      </c>
      <c r="K525">
        <v>885</v>
      </c>
      <c r="L525">
        <v>19</v>
      </c>
      <c r="M525">
        <v>14</v>
      </c>
      <c r="N525">
        <v>801</v>
      </c>
      <c r="O525">
        <v>66.099999999999994</v>
      </c>
      <c r="P525">
        <v>17.399999999999999</v>
      </c>
      <c r="Q525" t="s">
        <v>96</v>
      </c>
      <c r="R525" t="s">
        <v>81</v>
      </c>
      <c r="S525" t="s">
        <v>82</v>
      </c>
      <c r="T525">
        <v>0</v>
      </c>
      <c r="U525">
        <v>3</v>
      </c>
      <c r="V525" s="6">
        <v>135.26</v>
      </c>
      <c r="W525" s="6">
        <v>1912.47</v>
      </c>
      <c r="X525" t="s">
        <v>94</v>
      </c>
      <c r="Y525" s="7">
        <f t="shared" si="63"/>
        <v>2.1468926553672316E-2</v>
      </c>
      <c r="Z525" s="7">
        <f t="shared" si="64"/>
        <v>0.90508474576271192</v>
      </c>
      <c r="AA525">
        <f t="shared" si="65"/>
        <v>90</v>
      </c>
      <c r="AB525" s="8">
        <f t="shared" si="66"/>
        <v>2569.9399999999996</v>
      </c>
      <c r="AC525">
        <f t="shared" si="67"/>
        <v>58.4</v>
      </c>
      <c r="AD525" t="str">
        <f t="shared" si="68"/>
        <v>Medium</v>
      </c>
      <c r="AE525" t="str">
        <f t="shared" si="69"/>
        <v>No</v>
      </c>
    </row>
    <row r="526" spans="1:31" x14ac:dyDescent="0.35">
      <c r="A526" t="s">
        <v>638</v>
      </c>
      <c r="B526" s="5">
        <v>46265</v>
      </c>
      <c r="C526" t="s">
        <v>565</v>
      </c>
      <c r="D526" t="s">
        <v>23</v>
      </c>
      <c r="E526" t="s">
        <v>78</v>
      </c>
      <c r="F526" t="s">
        <v>30</v>
      </c>
      <c r="G526" t="s">
        <v>85</v>
      </c>
      <c r="H526" t="s">
        <v>38</v>
      </c>
      <c r="I526" t="s">
        <v>45</v>
      </c>
      <c r="J526">
        <v>1070</v>
      </c>
      <c r="K526">
        <v>1008</v>
      </c>
      <c r="L526">
        <v>36</v>
      </c>
      <c r="M526">
        <v>23</v>
      </c>
      <c r="N526">
        <v>998</v>
      </c>
      <c r="O526">
        <v>62.9</v>
      </c>
      <c r="P526">
        <v>5.5</v>
      </c>
      <c r="Q526" t="s">
        <v>80</v>
      </c>
      <c r="R526" t="s">
        <v>81</v>
      </c>
      <c r="S526" t="s">
        <v>82</v>
      </c>
      <c r="T526">
        <v>6</v>
      </c>
      <c r="U526">
        <v>5</v>
      </c>
      <c r="V526" s="6">
        <v>80.760000000000005</v>
      </c>
      <c r="W526" s="6">
        <v>2203.89</v>
      </c>
      <c r="X526" t="s">
        <v>83</v>
      </c>
      <c r="Y526" s="7">
        <f t="shared" si="63"/>
        <v>3.5714285714285712E-2</v>
      </c>
      <c r="Z526" s="7">
        <f t="shared" si="64"/>
        <v>0.99007936507936511</v>
      </c>
      <c r="AA526">
        <f t="shared" si="65"/>
        <v>62</v>
      </c>
      <c r="AB526" s="8">
        <f t="shared" si="66"/>
        <v>2907.36</v>
      </c>
      <c r="AC526">
        <f t="shared" si="67"/>
        <v>43.3</v>
      </c>
      <c r="AD526" t="str">
        <f t="shared" si="68"/>
        <v>Medium</v>
      </c>
      <c r="AE526" t="str">
        <f t="shared" si="69"/>
        <v>No</v>
      </c>
    </row>
    <row r="527" spans="1:31" x14ac:dyDescent="0.35">
      <c r="A527" t="s">
        <v>639</v>
      </c>
      <c r="B527" s="5">
        <v>46272</v>
      </c>
      <c r="C527" t="s">
        <v>640</v>
      </c>
      <c r="D527" t="s">
        <v>23</v>
      </c>
      <c r="E527" t="s">
        <v>78</v>
      </c>
      <c r="F527" t="s">
        <v>32</v>
      </c>
      <c r="G527" t="s">
        <v>85</v>
      </c>
      <c r="H527" t="s">
        <v>36</v>
      </c>
      <c r="I527" t="s">
        <v>42</v>
      </c>
      <c r="J527">
        <v>952</v>
      </c>
      <c r="K527">
        <v>867</v>
      </c>
      <c r="L527">
        <v>18</v>
      </c>
      <c r="M527">
        <v>7</v>
      </c>
      <c r="N527">
        <v>807</v>
      </c>
      <c r="O527">
        <v>75.5</v>
      </c>
      <c r="P527">
        <v>6.5</v>
      </c>
      <c r="Q527" t="s">
        <v>96</v>
      </c>
      <c r="R527" t="s">
        <v>81</v>
      </c>
      <c r="S527" t="s">
        <v>138</v>
      </c>
      <c r="T527">
        <v>7</v>
      </c>
      <c r="U527">
        <v>0</v>
      </c>
      <c r="V527" s="6">
        <v>156.47</v>
      </c>
      <c r="W527" s="6">
        <v>2157.84</v>
      </c>
      <c r="X527" t="s">
        <v>115</v>
      </c>
      <c r="Y527" s="7">
        <f t="shared" si="63"/>
        <v>2.0761245674740483E-2</v>
      </c>
      <c r="Z527" s="7">
        <f t="shared" si="64"/>
        <v>0.9307958477508651</v>
      </c>
      <c r="AA527">
        <f t="shared" si="65"/>
        <v>85</v>
      </c>
      <c r="AB527" s="8">
        <f t="shared" si="66"/>
        <v>2816.46</v>
      </c>
      <c r="AC527">
        <f t="shared" si="67"/>
        <v>54.3</v>
      </c>
      <c r="AD527" t="str">
        <f t="shared" si="68"/>
        <v>Medium</v>
      </c>
      <c r="AE527" t="str">
        <f t="shared" si="69"/>
        <v>Yes</v>
      </c>
    </row>
    <row r="528" spans="1:31" x14ac:dyDescent="0.35">
      <c r="A528" t="s">
        <v>641</v>
      </c>
      <c r="B528" s="5">
        <v>46272</v>
      </c>
      <c r="C528" t="s">
        <v>640</v>
      </c>
      <c r="D528" t="s">
        <v>20</v>
      </c>
      <c r="E528" t="s">
        <v>78</v>
      </c>
      <c r="F528" t="s">
        <v>31</v>
      </c>
      <c r="G528" t="s">
        <v>90</v>
      </c>
      <c r="H528" t="s">
        <v>39</v>
      </c>
      <c r="I528" t="s">
        <v>48</v>
      </c>
      <c r="J528">
        <v>1465</v>
      </c>
      <c r="K528">
        <v>1359</v>
      </c>
      <c r="L528">
        <v>47</v>
      </c>
      <c r="M528">
        <v>39</v>
      </c>
      <c r="N528">
        <v>1355</v>
      </c>
      <c r="O528">
        <v>69.599999999999994</v>
      </c>
      <c r="P528">
        <v>11.2</v>
      </c>
      <c r="Q528" t="s">
        <v>80</v>
      </c>
      <c r="R528" t="s">
        <v>81</v>
      </c>
      <c r="S528" t="s">
        <v>82</v>
      </c>
      <c r="T528">
        <v>8</v>
      </c>
      <c r="U528">
        <v>5</v>
      </c>
      <c r="V528" s="6">
        <v>182.28</v>
      </c>
      <c r="W528" s="6">
        <v>5230.6899999999996</v>
      </c>
      <c r="X528" t="s">
        <v>115</v>
      </c>
      <c r="Y528" s="7">
        <f t="shared" si="63"/>
        <v>3.4584253127299486E-2</v>
      </c>
      <c r="Z528" s="7">
        <f t="shared" si="64"/>
        <v>0.99705665930831489</v>
      </c>
      <c r="AA528">
        <f t="shared" si="65"/>
        <v>106</v>
      </c>
      <c r="AB528" s="8">
        <f t="shared" si="66"/>
        <v>8567.16</v>
      </c>
      <c r="AC528">
        <f t="shared" si="67"/>
        <v>49.3</v>
      </c>
      <c r="AD528" t="str">
        <f t="shared" si="68"/>
        <v>Medium</v>
      </c>
      <c r="AE528" t="str">
        <f t="shared" si="69"/>
        <v>No</v>
      </c>
    </row>
    <row r="529" spans="1:31" x14ac:dyDescent="0.35">
      <c r="A529" t="s">
        <v>642</v>
      </c>
      <c r="B529" s="5">
        <v>46272</v>
      </c>
      <c r="C529" t="s">
        <v>640</v>
      </c>
      <c r="D529" t="s">
        <v>25</v>
      </c>
      <c r="E529" t="s">
        <v>89</v>
      </c>
      <c r="F529" t="s">
        <v>31</v>
      </c>
      <c r="G529" t="s">
        <v>90</v>
      </c>
      <c r="H529" t="s">
        <v>34</v>
      </c>
      <c r="I529" t="s">
        <v>44</v>
      </c>
      <c r="J529">
        <v>1351</v>
      </c>
      <c r="K529">
        <v>1156</v>
      </c>
      <c r="L529">
        <v>40</v>
      </c>
      <c r="M529">
        <v>19</v>
      </c>
      <c r="N529">
        <v>1108</v>
      </c>
      <c r="O529">
        <v>29.7</v>
      </c>
      <c r="P529">
        <v>0</v>
      </c>
      <c r="Q529" t="s">
        <v>80</v>
      </c>
      <c r="R529" t="s">
        <v>81</v>
      </c>
      <c r="S529" t="s">
        <v>100</v>
      </c>
      <c r="T529">
        <v>7</v>
      </c>
      <c r="U529">
        <v>5</v>
      </c>
      <c r="V529" s="6">
        <v>326.16000000000003</v>
      </c>
      <c r="W529" s="6">
        <v>7100.46</v>
      </c>
      <c r="X529" t="s">
        <v>94</v>
      </c>
      <c r="Y529" s="7">
        <f t="shared" si="63"/>
        <v>3.4602076124567477E-2</v>
      </c>
      <c r="Z529" s="7">
        <f t="shared" si="64"/>
        <v>0.95847750865051906</v>
      </c>
      <c r="AA529">
        <f t="shared" si="65"/>
        <v>195</v>
      </c>
      <c r="AB529" s="8">
        <f t="shared" si="66"/>
        <v>13046.400000000001</v>
      </c>
      <c r="AC529">
        <f t="shared" si="67"/>
        <v>36.5</v>
      </c>
      <c r="AD529" t="str">
        <f t="shared" si="68"/>
        <v>Low</v>
      </c>
      <c r="AE529" t="str">
        <f t="shared" si="69"/>
        <v>No</v>
      </c>
    </row>
    <row r="530" spans="1:31" x14ac:dyDescent="0.35">
      <c r="A530" t="s">
        <v>643</v>
      </c>
      <c r="B530" s="5">
        <v>46272</v>
      </c>
      <c r="C530" t="s">
        <v>640</v>
      </c>
      <c r="D530" t="s">
        <v>22</v>
      </c>
      <c r="E530" t="s">
        <v>93</v>
      </c>
      <c r="F530" t="s">
        <v>29</v>
      </c>
      <c r="G530" t="s">
        <v>79</v>
      </c>
      <c r="H530" t="s">
        <v>37</v>
      </c>
      <c r="I530" t="s">
        <v>46</v>
      </c>
      <c r="J530">
        <v>1167</v>
      </c>
      <c r="K530">
        <v>1022</v>
      </c>
      <c r="L530">
        <v>22</v>
      </c>
      <c r="M530">
        <v>16</v>
      </c>
      <c r="N530">
        <v>948</v>
      </c>
      <c r="O530">
        <v>54.9</v>
      </c>
      <c r="P530">
        <v>0</v>
      </c>
      <c r="Q530" t="s">
        <v>80</v>
      </c>
      <c r="R530" t="s">
        <v>81</v>
      </c>
      <c r="S530" t="s">
        <v>82</v>
      </c>
      <c r="T530">
        <v>0</v>
      </c>
      <c r="U530">
        <v>2</v>
      </c>
      <c r="V530" s="6">
        <v>195.7</v>
      </c>
      <c r="W530" s="6">
        <v>1200.74</v>
      </c>
      <c r="X530" t="s">
        <v>121</v>
      </c>
      <c r="Y530" s="7">
        <f t="shared" si="63"/>
        <v>2.1526418786692758E-2</v>
      </c>
      <c r="Z530" s="7">
        <f t="shared" si="64"/>
        <v>0.92759295499021521</v>
      </c>
      <c r="AA530">
        <f t="shared" si="65"/>
        <v>145</v>
      </c>
      <c r="AB530" s="8">
        <f t="shared" si="66"/>
        <v>4305.3999999999996</v>
      </c>
      <c r="AC530">
        <f t="shared" si="67"/>
        <v>24.8</v>
      </c>
      <c r="AD530" t="str">
        <f t="shared" si="68"/>
        <v>Low</v>
      </c>
      <c r="AE530" t="str">
        <f t="shared" si="69"/>
        <v>No</v>
      </c>
    </row>
    <row r="531" spans="1:31" x14ac:dyDescent="0.35">
      <c r="A531" t="s">
        <v>644</v>
      </c>
      <c r="B531" s="5">
        <v>46272</v>
      </c>
      <c r="C531" t="s">
        <v>640</v>
      </c>
      <c r="D531" t="s">
        <v>22</v>
      </c>
      <c r="E531" t="s">
        <v>93</v>
      </c>
      <c r="F531" t="s">
        <v>27</v>
      </c>
      <c r="G531" t="s">
        <v>79</v>
      </c>
      <c r="H531" t="s">
        <v>40</v>
      </c>
      <c r="I531" t="s">
        <v>47</v>
      </c>
      <c r="J531">
        <v>1017</v>
      </c>
      <c r="K531">
        <v>954</v>
      </c>
      <c r="L531">
        <v>25</v>
      </c>
      <c r="M531">
        <v>16</v>
      </c>
      <c r="N531">
        <v>847</v>
      </c>
      <c r="O531">
        <v>71.099999999999994</v>
      </c>
      <c r="P531">
        <v>1.7</v>
      </c>
      <c r="Q531" t="s">
        <v>86</v>
      </c>
      <c r="R531" t="s">
        <v>81</v>
      </c>
      <c r="S531" t="s">
        <v>82</v>
      </c>
      <c r="T531">
        <v>6</v>
      </c>
      <c r="U531">
        <v>4</v>
      </c>
      <c r="V531" s="6">
        <v>148.13</v>
      </c>
      <c r="W531" s="6">
        <v>1147.02</v>
      </c>
      <c r="X531" t="s">
        <v>87</v>
      </c>
      <c r="Y531" s="7">
        <f t="shared" si="63"/>
        <v>2.6205450733752619E-2</v>
      </c>
      <c r="Z531" s="7">
        <f t="shared" si="64"/>
        <v>0.88784067085953877</v>
      </c>
      <c r="AA531">
        <f t="shared" si="65"/>
        <v>63</v>
      </c>
      <c r="AB531" s="8">
        <f t="shared" si="66"/>
        <v>3703.25</v>
      </c>
      <c r="AC531">
        <f t="shared" si="67"/>
        <v>51.5</v>
      </c>
      <c r="AD531" t="str">
        <f t="shared" si="68"/>
        <v>Medium</v>
      </c>
      <c r="AE531" t="str">
        <f t="shared" si="69"/>
        <v>Yes</v>
      </c>
    </row>
    <row r="532" spans="1:31" x14ac:dyDescent="0.35">
      <c r="A532" t="s">
        <v>645</v>
      </c>
      <c r="B532" s="5">
        <v>46272</v>
      </c>
      <c r="C532" t="s">
        <v>640</v>
      </c>
      <c r="D532" t="s">
        <v>22</v>
      </c>
      <c r="E532" t="s">
        <v>93</v>
      </c>
      <c r="F532" t="s">
        <v>29</v>
      </c>
      <c r="G532" t="s">
        <v>90</v>
      </c>
      <c r="H532" t="s">
        <v>34</v>
      </c>
      <c r="I532" t="s">
        <v>47</v>
      </c>
      <c r="J532">
        <v>830</v>
      </c>
      <c r="K532">
        <v>771</v>
      </c>
      <c r="L532">
        <v>19</v>
      </c>
      <c r="M532">
        <v>12</v>
      </c>
      <c r="N532">
        <v>682</v>
      </c>
      <c r="O532">
        <v>55.7</v>
      </c>
      <c r="P532">
        <v>4.8</v>
      </c>
      <c r="Q532" t="s">
        <v>80</v>
      </c>
      <c r="R532" t="s">
        <v>81</v>
      </c>
      <c r="S532" t="s">
        <v>100</v>
      </c>
      <c r="T532">
        <v>6</v>
      </c>
      <c r="U532">
        <v>1</v>
      </c>
      <c r="V532" s="6">
        <v>364.39</v>
      </c>
      <c r="W532" s="6">
        <v>2219.42</v>
      </c>
      <c r="X532" t="s">
        <v>91</v>
      </c>
      <c r="Y532" s="7">
        <f t="shared" si="63"/>
        <v>2.464332036316472E-2</v>
      </c>
      <c r="Z532" s="7">
        <f t="shared" si="64"/>
        <v>0.88456549935149154</v>
      </c>
      <c r="AA532">
        <f t="shared" si="65"/>
        <v>59</v>
      </c>
      <c r="AB532" s="8">
        <f t="shared" si="66"/>
        <v>6923.41</v>
      </c>
      <c r="AC532">
        <f t="shared" si="67"/>
        <v>36.1</v>
      </c>
      <c r="AD532" t="str">
        <f t="shared" si="68"/>
        <v>Low</v>
      </c>
      <c r="AE532" t="str">
        <f t="shared" si="69"/>
        <v>No</v>
      </c>
    </row>
    <row r="533" spans="1:31" x14ac:dyDescent="0.35">
      <c r="A533" t="s">
        <v>646</v>
      </c>
      <c r="B533" s="5">
        <v>46272</v>
      </c>
      <c r="C533" t="s">
        <v>640</v>
      </c>
      <c r="D533" t="s">
        <v>24</v>
      </c>
      <c r="E533" t="s">
        <v>78</v>
      </c>
      <c r="F533" t="s">
        <v>30</v>
      </c>
      <c r="G533" t="s">
        <v>90</v>
      </c>
      <c r="H533" t="s">
        <v>38</v>
      </c>
      <c r="I533" t="s">
        <v>48</v>
      </c>
      <c r="J533">
        <v>1341</v>
      </c>
      <c r="K533">
        <v>1250</v>
      </c>
      <c r="L533">
        <v>29</v>
      </c>
      <c r="M533">
        <v>17</v>
      </c>
      <c r="N533">
        <v>1129</v>
      </c>
      <c r="O533">
        <v>47.3</v>
      </c>
      <c r="P533">
        <v>9.3000000000000007</v>
      </c>
      <c r="Q533" t="s">
        <v>80</v>
      </c>
      <c r="R533" t="s">
        <v>81</v>
      </c>
      <c r="S533" t="s">
        <v>82</v>
      </c>
      <c r="T533">
        <v>11</v>
      </c>
      <c r="U533">
        <v>5</v>
      </c>
      <c r="V533" s="6">
        <v>357.36</v>
      </c>
      <c r="W533" s="6">
        <v>2925.32</v>
      </c>
      <c r="X533" t="s">
        <v>94</v>
      </c>
      <c r="Y533" s="7">
        <f t="shared" si="63"/>
        <v>2.3199999999999998E-2</v>
      </c>
      <c r="Z533" s="7">
        <f t="shared" si="64"/>
        <v>0.9032</v>
      </c>
      <c r="AA533">
        <f t="shared" si="65"/>
        <v>91</v>
      </c>
      <c r="AB533" s="8">
        <f t="shared" si="66"/>
        <v>10363.44</v>
      </c>
      <c r="AC533">
        <f t="shared" si="67"/>
        <v>39.6</v>
      </c>
      <c r="AD533" t="str">
        <f t="shared" si="68"/>
        <v>Low</v>
      </c>
      <c r="AE533" t="str">
        <f t="shared" si="69"/>
        <v>No</v>
      </c>
    </row>
    <row r="534" spans="1:31" x14ac:dyDescent="0.35">
      <c r="A534" t="s">
        <v>647</v>
      </c>
      <c r="B534" s="5">
        <v>46272</v>
      </c>
      <c r="C534" t="s">
        <v>640</v>
      </c>
      <c r="D534" t="s">
        <v>22</v>
      </c>
      <c r="E534" t="s">
        <v>93</v>
      </c>
      <c r="F534" t="s">
        <v>29</v>
      </c>
      <c r="G534" t="s">
        <v>79</v>
      </c>
      <c r="H534" t="s">
        <v>34</v>
      </c>
      <c r="I534" t="s">
        <v>42</v>
      </c>
      <c r="J534">
        <v>1101</v>
      </c>
      <c r="K534">
        <v>947</v>
      </c>
      <c r="L534">
        <v>20</v>
      </c>
      <c r="M534">
        <v>7</v>
      </c>
      <c r="N534">
        <v>889</v>
      </c>
      <c r="O534">
        <v>45.4</v>
      </c>
      <c r="P534">
        <v>1.2</v>
      </c>
      <c r="Q534" t="s">
        <v>86</v>
      </c>
      <c r="R534" t="s">
        <v>81</v>
      </c>
      <c r="S534" t="s">
        <v>82</v>
      </c>
      <c r="T534">
        <v>1</v>
      </c>
      <c r="U534">
        <v>0</v>
      </c>
      <c r="V534" s="6">
        <v>134.78</v>
      </c>
      <c r="W534" s="6">
        <v>1380.7</v>
      </c>
      <c r="X534" t="s">
        <v>115</v>
      </c>
      <c r="Y534" s="7">
        <f t="shared" si="63"/>
        <v>2.1119324181626188E-2</v>
      </c>
      <c r="Z534" s="7">
        <f t="shared" si="64"/>
        <v>0.93875395987328403</v>
      </c>
      <c r="AA534">
        <f t="shared" si="65"/>
        <v>154</v>
      </c>
      <c r="AB534" s="8">
        <f t="shared" si="66"/>
        <v>2695.6</v>
      </c>
      <c r="AC534">
        <f t="shared" si="67"/>
        <v>43.4</v>
      </c>
      <c r="AD534" t="str">
        <f t="shared" si="68"/>
        <v>Medium</v>
      </c>
      <c r="AE534" t="str">
        <f t="shared" si="69"/>
        <v>Yes</v>
      </c>
    </row>
    <row r="535" spans="1:31" x14ac:dyDescent="0.35">
      <c r="A535" t="s">
        <v>648</v>
      </c>
      <c r="B535" s="5">
        <v>46272</v>
      </c>
      <c r="C535" t="s">
        <v>640</v>
      </c>
      <c r="D535" t="s">
        <v>25</v>
      </c>
      <c r="E535" t="s">
        <v>89</v>
      </c>
      <c r="F535" t="s">
        <v>30</v>
      </c>
      <c r="G535" t="s">
        <v>90</v>
      </c>
      <c r="H535" t="s">
        <v>40</v>
      </c>
      <c r="I535" t="s">
        <v>48</v>
      </c>
      <c r="J535">
        <v>906</v>
      </c>
      <c r="K535">
        <v>797</v>
      </c>
      <c r="L535">
        <v>12</v>
      </c>
      <c r="M535">
        <v>5</v>
      </c>
      <c r="N535">
        <v>760</v>
      </c>
      <c r="O535">
        <v>32.299999999999997</v>
      </c>
      <c r="P535">
        <v>17.8</v>
      </c>
      <c r="Q535" t="s">
        <v>80</v>
      </c>
      <c r="R535" t="s">
        <v>81</v>
      </c>
      <c r="S535" t="s">
        <v>82</v>
      </c>
      <c r="T535">
        <v>3</v>
      </c>
      <c r="U535">
        <v>0</v>
      </c>
      <c r="V535" s="6">
        <v>249.32</v>
      </c>
      <c r="W535" s="6">
        <v>1662.92</v>
      </c>
      <c r="X535" t="s">
        <v>94</v>
      </c>
      <c r="Y535" s="7">
        <f t="shared" si="63"/>
        <v>1.5056461731493099E-2</v>
      </c>
      <c r="Z535" s="7">
        <f t="shared" si="64"/>
        <v>0.95357590966122963</v>
      </c>
      <c r="AA535">
        <f t="shared" si="65"/>
        <v>109</v>
      </c>
      <c r="AB535" s="8">
        <f t="shared" si="66"/>
        <v>2991.84</v>
      </c>
      <c r="AC535">
        <f t="shared" si="67"/>
        <v>40.299999999999997</v>
      </c>
      <c r="AD535" t="str">
        <f t="shared" si="68"/>
        <v>Medium</v>
      </c>
      <c r="AE535" t="str">
        <f t="shared" si="69"/>
        <v>No</v>
      </c>
    </row>
    <row r="536" spans="1:31" x14ac:dyDescent="0.35">
      <c r="A536" t="s">
        <v>649</v>
      </c>
      <c r="B536" s="5">
        <v>46272</v>
      </c>
      <c r="C536" t="s">
        <v>640</v>
      </c>
      <c r="D536" t="s">
        <v>24</v>
      </c>
      <c r="E536" t="s">
        <v>78</v>
      </c>
      <c r="F536" t="s">
        <v>29</v>
      </c>
      <c r="G536" t="s">
        <v>90</v>
      </c>
      <c r="H536" t="s">
        <v>34</v>
      </c>
      <c r="I536" t="s">
        <v>44</v>
      </c>
      <c r="J536">
        <v>916</v>
      </c>
      <c r="K536">
        <v>938</v>
      </c>
      <c r="L536">
        <v>19</v>
      </c>
      <c r="M536">
        <v>6</v>
      </c>
      <c r="N536">
        <v>829</v>
      </c>
      <c r="O536">
        <v>51</v>
      </c>
      <c r="P536">
        <v>12.6</v>
      </c>
      <c r="Q536" t="s">
        <v>80</v>
      </c>
      <c r="R536" t="s">
        <v>81</v>
      </c>
      <c r="S536" t="s">
        <v>82</v>
      </c>
      <c r="T536">
        <v>6</v>
      </c>
      <c r="U536">
        <v>2</v>
      </c>
      <c r="V536" s="6">
        <v>252.16</v>
      </c>
      <c r="W536" s="6">
        <v>2272.8000000000002</v>
      </c>
      <c r="X536" t="s">
        <v>121</v>
      </c>
      <c r="Y536" s="7">
        <f t="shared" si="63"/>
        <v>2.0255863539445629E-2</v>
      </c>
      <c r="Z536" s="7">
        <f t="shared" si="64"/>
        <v>0.88379530916844351</v>
      </c>
      <c r="AA536">
        <f t="shared" si="65"/>
        <v>-22</v>
      </c>
      <c r="AB536" s="8">
        <f t="shared" si="66"/>
        <v>4791.04</v>
      </c>
      <c r="AC536">
        <f t="shared" si="67"/>
        <v>41.9</v>
      </c>
      <c r="AD536" t="str">
        <f t="shared" si="68"/>
        <v>Medium</v>
      </c>
      <c r="AE536" t="str">
        <f t="shared" si="69"/>
        <v>No</v>
      </c>
    </row>
    <row r="537" spans="1:31" x14ac:dyDescent="0.35">
      <c r="A537" t="s">
        <v>650</v>
      </c>
      <c r="B537" s="5">
        <v>46272</v>
      </c>
      <c r="C537" t="s">
        <v>640</v>
      </c>
      <c r="D537" t="s">
        <v>25</v>
      </c>
      <c r="E537" t="s">
        <v>89</v>
      </c>
      <c r="F537" t="s">
        <v>31</v>
      </c>
      <c r="G537" t="s">
        <v>90</v>
      </c>
      <c r="H537" t="s">
        <v>39</v>
      </c>
      <c r="I537" t="s">
        <v>42</v>
      </c>
      <c r="J537">
        <v>1142</v>
      </c>
      <c r="K537">
        <v>1070</v>
      </c>
      <c r="L537">
        <v>38</v>
      </c>
      <c r="M537">
        <v>25</v>
      </c>
      <c r="N537">
        <v>1062</v>
      </c>
      <c r="O537">
        <v>56.9</v>
      </c>
      <c r="P537">
        <v>5.7</v>
      </c>
      <c r="Q537" t="s">
        <v>80</v>
      </c>
      <c r="R537" t="s">
        <v>81</v>
      </c>
      <c r="S537" t="s">
        <v>82</v>
      </c>
      <c r="T537">
        <v>6</v>
      </c>
      <c r="U537">
        <v>2</v>
      </c>
      <c r="V537" s="6">
        <v>407.23</v>
      </c>
      <c r="W537" s="6">
        <v>7185.37</v>
      </c>
      <c r="X537" t="s">
        <v>94</v>
      </c>
      <c r="Y537" s="7">
        <f t="shared" si="63"/>
        <v>3.5514018691588788E-2</v>
      </c>
      <c r="Z537" s="7">
        <f t="shared" si="64"/>
        <v>0.99252336448598133</v>
      </c>
      <c r="AA537">
        <f t="shared" si="65"/>
        <v>72</v>
      </c>
      <c r="AB537" s="8">
        <f t="shared" si="66"/>
        <v>15474.740000000002</v>
      </c>
      <c r="AC537">
        <f t="shared" si="67"/>
        <v>43.3</v>
      </c>
      <c r="AD537" t="str">
        <f t="shared" si="68"/>
        <v>Medium</v>
      </c>
      <c r="AE537" t="str">
        <f t="shared" si="69"/>
        <v>No</v>
      </c>
    </row>
    <row r="538" spans="1:31" x14ac:dyDescent="0.35">
      <c r="A538" t="s">
        <v>651</v>
      </c>
      <c r="B538" s="5">
        <v>46272</v>
      </c>
      <c r="C538" t="s">
        <v>640</v>
      </c>
      <c r="D538" t="s">
        <v>25</v>
      </c>
      <c r="E538" t="s">
        <v>89</v>
      </c>
      <c r="F538" t="s">
        <v>29</v>
      </c>
      <c r="G538" t="s">
        <v>79</v>
      </c>
      <c r="H538" t="s">
        <v>34</v>
      </c>
      <c r="I538" t="s">
        <v>45</v>
      </c>
      <c r="J538">
        <v>1366</v>
      </c>
      <c r="K538">
        <v>1265</v>
      </c>
      <c r="L538">
        <v>50</v>
      </c>
      <c r="M538">
        <v>38</v>
      </c>
      <c r="N538">
        <v>1154</v>
      </c>
      <c r="O538">
        <v>23</v>
      </c>
      <c r="P538">
        <v>4.3</v>
      </c>
      <c r="Q538" t="s">
        <v>80</v>
      </c>
      <c r="R538" t="s">
        <v>81</v>
      </c>
      <c r="S538" t="s">
        <v>82</v>
      </c>
      <c r="T538">
        <v>7</v>
      </c>
      <c r="U538">
        <v>4</v>
      </c>
      <c r="V538" s="6">
        <v>32.29</v>
      </c>
      <c r="W538" s="6">
        <v>642.46</v>
      </c>
      <c r="X538" t="s">
        <v>94</v>
      </c>
      <c r="Y538" s="7">
        <f t="shared" si="63"/>
        <v>3.9525691699604744E-2</v>
      </c>
      <c r="Z538" s="7">
        <f t="shared" si="64"/>
        <v>0.91225296442687742</v>
      </c>
      <c r="AA538">
        <f t="shared" si="65"/>
        <v>101</v>
      </c>
      <c r="AB538" s="8">
        <f t="shared" si="66"/>
        <v>1614.5</v>
      </c>
      <c r="AC538">
        <f t="shared" si="67"/>
        <v>49.1</v>
      </c>
      <c r="AD538" t="str">
        <f t="shared" si="68"/>
        <v>Medium</v>
      </c>
      <c r="AE538" t="str">
        <f t="shared" si="69"/>
        <v>No</v>
      </c>
    </row>
    <row r="539" spans="1:31" x14ac:dyDescent="0.35">
      <c r="A539" t="s">
        <v>652</v>
      </c>
      <c r="B539" s="5">
        <v>46272</v>
      </c>
      <c r="C539" t="s">
        <v>640</v>
      </c>
      <c r="D539" t="s">
        <v>23</v>
      </c>
      <c r="E539" t="s">
        <v>78</v>
      </c>
      <c r="F539" t="s">
        <v>27</v>
      </c>
      <c r="G539" t="s">
        <v>85</v>
      </c>
      <c r="H539" t="s">
        <v>37</v>
      </c>
      <c r="I539" t="s">
        <v>42</v>
      </c>
      <c r="J539">
        <v>1224</v>
      </c>
      <c r="K539">
        <v>1089</v>
      </c>
      <c r="L539">
        <v>28</v>
      </c>
      <c r="M539">
        <v>19</v>
      </c>
      <c r="N539">
        <v>1057</v>
      </c>
      <c r="O539">
        <v>51.7</v>
      </c>
      <c r="P539">
        <v>8.4</v>
      </c>
      <c r="Q539" t="s">
        <v>80</v>
      </c>
      <c r="R539" t="s">
        <v>81</v>
      </c>
      <c r="S539" t="s">
        <v>82</v>
      </c>
      <c r="T539">
        <v>5</v>
      </c>
      <c r="U539">
        <v>4</v>
      </c>
      <c r="V539" s="6">
        <v>295.8</v>
      </c>
      <c r="W539" s="6">
        <v>5483.91</v>
      </c>
      <c r="X539" t="s">
        <v>110</v>
      </c>
      <c r="Y539" s="7">
        <f t="shared" si="63"/>
        <v>2.5711662075298437E-2</v>
      </c>
      <c r="Z539" s="7">
        <f t="shared" si="64"/>
        <v>0.97061524334251603</v>
      </c>
      <c r="AA539">
        <f t="shared" si="65"/>
        <v>135</v>
      </c>
      <c r="AB539" s="8">
        <f t="shared" si="66"/>
        <v>8282.4</v>
      </c>
      <c r="AC539">
        <f t="shared" si="67"/>
        <v>38</v>
      </c>
      <c r="AD539" t="str">
        <f t="shared" si="68"/>
        <v>Low</v>
      </c>
      <c r="AE539" t="str">
        <f t="shared" si="69"/>
        <v>No</v>
      </c>
    </row>
    <row r="540" spans="1:31" x14ac:dyDescent="0.35">
      <c r="A540" t="s">
        <v>653</v>
      </c>
      <c r="B540" s="5">
        <v>46272</v>
      </c>
      <c r="C540" t="s">
        <v>640</v>
      </c>
      <c r="D540" t="s">
        <v>20</v>
      </c>
      <c r="E540" t="s">
        <v>78</v>
      </c>
      <c r="F540" t="s">
        <v>29</v>
      </c>
      <c r="G540" t="s">
        <v>90</v>
      </c>
      <c r="H540" t="s">
        <v>39</v>
      </c>
      <c r="I540" t="s">
        <v>44</v>
      </c>
      <c r="J540">
        <v>1494</v>
      </c>
      <c r="K540">
        <v>1424</v>
      </c>
      <c r="L540">
        <v>30</v>
      </c>
      <c r="M540">
        <v>21</v>
      </c>
      <c r="N540">
        <v>1389</v>
      </c>
      <c r="O540">
        <v>36.1</v>
      </c>
      <c r="P540">
        <v>6.7</v>
      </c>
      <c r="Q540" t="s">
        <v>80</v>
      </c>
      <c r="R540" t="s">
        <v>81</v>
      </c>
      <c r="S540" t="s">
        <v>82</v>
      </c>
      <c r="T540">
        <v>8</v>
      </c>
      <c r="U540">
        <v>3</v>
      </c>
      <c r="V540" s="6">
        <v>235.97</v>
      </c>
      <c r="W540" s="6">
        <v>2379.56</v>
      </c>
      <c r="X540" t="s">
        <v>91</v>
      </c>
      <c r="Y540" s="7">
        <f t="shared" si="63"/>
        <v>2.1067415730337078E-2</v>
      </c>
      <c r="Z540" s="7">
        <f t="shared" si="64"/>
        <v>0.9754213483146067</v>
      </c>
      <c r="AA540">
        <f t="shared" si="65"/>
        <v>70</v>
      </c>
      <c r="AB540" s="8">
        <f t="shared" si="66"/>
        <v>7079.1</v>
      </c>
      <c r="AC540">
        <f t="shared" si="67"/>
        <v>30.9</v>
      </c>
      <c r="AD540" t="str">
        <f t="shared" si="68"/>
        <v>Low</v>
      </c>
      <c r="AE540" t="str">
        <f t="shared" si="69"/>
        <v>No</v>
      </c>
    </row>
    <row r="541" spans="1:31" x14ac:dyDescent="0.35">
      <c r="A541" t="s">
        <v>654</v>
      </c>
      <c r="B541" s="5">
        <v>46272</v>
      </c>
      <c r="C541" t="s">
        <v>640</v>
      </c>
      <c r="D541" t="s">
        <v>25</v>
      </c>
      <c r="E541" t="s">
        <v>89</v>
      </c>
      <c r="F541" t="s">
        <v>31</v>
      </c>
      <c r="G541" t="s">
        <v>90</v>
      </c>
      <c r="H541" t="s">
        <v>40</v>
      </c>
      <c r="I541" t="s">
        <v>44</v>
      </c>
      <c r="J541">
        <v>1143</v>
      </c>
      <c r="K541">
        <v>1100</v>
      </c>
      <c r="L541">
        <v>8</v>
      </c>
      <c r="M541">
        <v>6</v>
      </c>
      <c r="N541">
        <v>972</v>
      </c>
      <c r="O541">
        <v>60.2</v>
      </c>
      <c r="P541">
        <v>9.3000000000000007</v>
      </c>
      <c r="Q541" t="s">
        <v>80</v>
      </c>
      <c r="R541" t="s">
        <v>81</v>
      </c>
      <c r="S541" t="s">
        <v>82</v>
      </c>
      <c r="T541">
        <v>9</v>
      </c>
      <c r="U541">
        <v>5</v>
      </c>
      <c r="V541" s="6">
        <v>260.52</v>
      </c>
      <c r="W541" s="6">
        <v>930.93</v>
      </c>
      <c r="X541" t="s">
        <v>91</v>
      </c>
      <c r="Y541" s="7">
        <f t="shared" si="63"/>
        <v>7.2727272727272727E-3</v>
      </c>
      <c r="Z541" s="7">
        <f t="shared" si="64"/>
        <v>0.88363636363636366</v>
      </c>
      <c r="AA541">
        <f t="shared" si="65"/>
        <v>43</v>
      </c>
      <c r="AB541" s="8">
        <f t="shared" si="66"/>
        <v>2084.16</v>
      </c>
      <c r="AC541">
        <f t="shared" si="67"/>
        <v>24.6</v>
      </c>
      <c r="AD541" t="str">
        <f t="shared" si="68"/>
        <v>Low</v>
      </c>
      <c r="AE541" t="str">
        <f t="shared" si="69"/>
        <v>No</v>
      </c>
    </row>
    <row r="542" spans="1:31" x14ac:dyDescent="0.35">
      <c r="A542" t="s">
        <v>655</v>
      </c>
      <c r="B542" s="5">
        <v>46279</v>
      </c>
      <c r="C542" t="s">
        <v>640</v>
      </c>
      <c r="D542" t="s">
        <v>24</v>
      </c>
      <c r="E542" t="s">
        <v>78</v>
      </c>
      <c r="F542" t="s">
        <v>30</v>
      </c>
      <c r="G542" t="s">
        <v>90</v>
      </c>
      <c r="H542" t="s">
        <v>36</v>
      </c>
      <c r="I542" t="s">
        <v>42</v>
      </c>
      <c r="J542">
        <v>1095</v>
      </c>
      <c r="K542">
        <v>1107</v>
      </c>
      <c r="L542">
        <v>48</v>
      </c>
      <c r="M542">
        <v>18</v>
      </c>
      <c r="N542">
        <v>1042</v>
      </c>
      <c r="O542">
        <v>27.1</v>
      </c>
      <c r="P542">
        <v>0.3</v>
      </c>
      <c r="Q542" t="s">
        <v>80</v>
      </c>
      <c r="R542" t="s">
        <v>81</v>
      </c>
      <c r="S542" t="s">
        <v>82</v>
      </c>
      <c r="T542">
        <v>6</v>
      </c>
      <c r="U542">
        <v>5</v>
      </c>
      <c r="V542" s="6">
        <v>287.82</v>
      </c>
      <c r="W542" s="6">
        <v>9313.6299999999992</v>
      </c>
      <c r="X542" t="s">
        <v>94</v>
      </c>
      <c r="Y542" s="7">
        <f t="shared" si="63"/>
        <v>4.3360433604336043E-2</v>
      </c>
      <c r="Z542" s="7">
        <f t="shared" si="64"/>
        <v>0.94128274616079499</v>
      </c>
      <c r="AA542">
        <f t="shared" si="65"/>
        <v>-12</v>
      </c>
      <c r="AB542" s="8">
        <f t="shared" si="66"/>
        <v>13815.36</v>
      </c>
      <c r="AC542">
        <f t="shared" si="67"/>
        <v>46.4</v>
      </c>
      <c r="AD542" t="str">
        <f t="shared" si="68"/>
        <v>Medium</v>
      </c>
      <c r="AE542" t="str">
        <f t="shared" si="69"/>
        <v>No</v>
      </c>
    </row>
    <row r="543" spans="1:31" x14ac:dyDescent="0.35">
      <c r="A543" t="s">
        <v>656</v>
      </c>
      <c r="B543" s="5">
        <v>46279</v>
      </c>
      <c r="C543" t="s">
        <v>640</v>
      </c>
      <c r="D543" t="s">
        <v>22</v>
      </c>
      <c r="E543" t="s">
        <v>93</v>
      </c>
      <c r="F543" t="s">
        <v>32</v>
      </c>
      <c r="G543" t="s">
        <v>79</v>
      </c>
      <c r="H543" t="s">
        <v>38</v>
      </c>
      <c r="I543" t="s">
        <v>48</v>
      </c>
      <c r="J543">
        <v>891</v>
      </c>
      <c r="K543">
        <v>795</v>
      </c>
      <c r="L543">
        <v>16</v>
      </c>
      <c r="M543">
        <v>9</v>
      </c>
      <c r="N543">
        <v>793</v>
      </c>
      <c r="O543">
        <v>40.799999999999997</v>
      </c>
      <c r="P543">
        <v>3.7</v>
      </c>
      <c r="Q543" t="s">
        <v>80</v>
      </c>
      <c r="R543" t="s">
        <v>81</v>
      </c>
      <c r="S543" t="s">
        <v>82</v>
      </c>
      <c r="T543">
        <v>0</v>
      </c>
      <c r="U543">
        <v>1</v>
      </c>
      <c r="V543" s="6">
        <v>55.54</v>
      </c>
      <c r="W543" s="6">
        <v>269.45999999999998</v>
      </c>
      <c r="X543" t="s">
        <v>94</v>
      </c>
      <c r="Y543" s="7">
        <f t="shared" si="63"/>
        <v>2.0125786163522012E-2</v>
      </c>
      <c r="Z543" s="7">
        <f t="shared" si="64"/>
        <v>0.99748427672955975</v>
      </c>
      <c r="AA543">
        <f t="shared" si="65"/>
        <v>96</v>
      </c>
      <c r="AB543" s="8">
        <f t="shared" si="66"/>
        <v>888.64</v>
      </c>
      <c r="AC543">
        <f t="shared" si="67"/>
        <v>25</v>
      </c>
      <c r="AD543" t="str">
        <f t="shared" si="68"/>
        <v>Low</v>
      </c>
      <c r="AE543" t="str">
        <f t="shared" si="69"/>
        <v>No</v>
      </c>
    </row>
    <row r="544" spans="1:31" x14ac:dyDescent="0.35">
      <c r="A544" t="s">
        <v>657</v>
      </c>
      <c r="B544" s="5">
        <v>46279</v>
      </c>
      <c r="C544" t="s">
        <v>640</v>
      </c>
      <c r="D544" t="s">
        <v>24</v>
      </c>
      <c r="E544" t="s">
        <v>78</v>
      </c>
      <c r="F544" t="s">
        <v>32</v>
      </c>
      <c r="G544" t="s">
        <v>90</v>
      </c>
      <c r="H544" t="s">
        <v>34</v>
      </c>
      <c r="I544" t="s">
        <v>46</v>
      </c>
      <c r="J544">
        <v>1042</v>
      </c>
      <c r="K544">
        <v>1061</v>
      </c>
      <c r="L544">
        <v>15</v>
      </c>
      <c r="M544">
        <v>11</v>
      </c>
      <c r="N544">
        <v>997</v>
      </c>
      <c r="O544">
        <v>61.5</v>
      </c>
      <c r="P544">
        <v>10.3</v>
      </c>
      <c r="Q544" t="s">
        <v>80</v>
      </c>
      <c r="R544" t="s">
        <v>81</v>
      </c>
      <c r="S544" t="s">
        <v>100</v>
      </c>
      <c r="T544">
        <v>3</v>
      </c>
      <c r="U544">
        <v>3</v>
      </c>
      <c r="V544" s="6">
        <v>452.15</v>
      </c>
      <c r="W544" s="6">
        <v>5074.37</v>
      </c>
      <c r="X544" t="s">
        <v>94</v>
      </c>
      <c r="Y544" s="7">
        <f t="shared" si="63"/>
        <v>1.413760603204524E-2</v>
      </c>
      <c r="Z544" s="7">
        <f t="shared" si="64"/>
        <v>0.93967954759660699</v>
      </c>
      <c r="AA544">
        <f t="shared" si="65"/>
        <v>-19</v>
      </c>
      <c r="AB544" s="8">
        <f t="shared" si="66"/>
        <v>6782.25</v>
      </c>
      <c r="AC544">
        <f t="shared" si="67"/>
        <v>30.2</v>
      </c>
      <c r="AD544" t="str">
        <f t="shared" si="68"/>
        <v>Low</v>
      </c>
      <c r="AE544" t="str">
        <f t="shared" si="69"/>
        <v>No</v>
      </c>
    </row>
    <row r="545" spans="1:31" x14ac:dyDescent="0.35">
      <c r="A545" t="s">
        <v>658</v>
      </c>
      <c r="B545" s="5">
        <v>46279</v>
      </c>
      <c r="C545" t="s">
        <v>640</v>
      </c>
      <c r="D545" t="s">
        <v>20</v>
      </c>
      <c r="E545" t="s">
        <v>78</v>
      </c>
      <c r="F545" t="s">
        <v>29</v>
      </c>
      <c r="G545" t="s">
        <v>79</v>
      </c>
      <c r="H545" t="s">
        <v>36</v>
      </c>
      <c r="I545" t="s">
        <v>42</v>
      </c>
      <c r="J545">
        <v>1144</v>
      </c>
      <c r="K545">
        <v>1140</v>
      </c>
      <c r="L545">
        <v>13</v>
      </c>
      <c r="M545">
        <v>4</v>
      </c>
      <c r="N545">
        <v>1079</v>
      </c>
      <c r="O545">
        <v>20.2</v>
      </c>
      <c r="P545">
        <v>17.3</v>
      </c>
      <c r="Q545" t="s">
        <v>80</v>
      </c>
      <c r="R545" t="s">
        <v>81</v>
      </c>
      <c r="S545" t="s">
        <v>82</v>
      </c>
      <c r="T545">
        <v>0</v>
      </c>
      <c r="U545">
        <v>1</v>
      </c>
      <c r="V545" s="6">
        <v>103.56</v>
      </c>
      <c r="W545" s="6">
        <v>1073.93</v>
      </c>
      <c r="X545" t="s">
        <v>151</v>
      </c>
      <c r="Y545" s="7">
        <f t="shared" si="63"/>
        <v>1.1403508771929825E-2</v>
      </c>
      <c r="Z545" s="7">
        <f t="shared" si="64"/>
        <v>0.94649122807017538</v>
      </c>
      <c r="AA545">
        <f t="shared" si="65"/>
        <v>4</v>
      </c>
      <c r="AB545" s="8">
        <f t="shared" si="66"/>
        <v>1346.28</v>
      </c>
      <c r="AC545">
        <f t="shared" si="67"/>
        <v>36.299999999999997</v>
      </c>
      <c r="AD545" t="str">
        <f t="shared" si="68"/>
        <v>Low</v>
      </c>
      <c r="AE545" t="str">
        <f t="shared" si="69"/>
        <v>No</v>
      </c>
    </row>
    <row r="546" spans="1:31" x14ac:dyDescent="0.35">
      <c r="A546" t="s">
        <v>659</v>
      </c>
      <c r="B546" s="5">
        <v>46279</v>
      </c>
      <c r="C546" t="s">
        <v>640</v>
      </c>
      <c r="D546" t="s">
        <v>23</v>
      </c>
      <c r="E546" t="s">
        <v>78</v>
      </c>
      <c r="F546" t="s">
        <v>29</v>
      </c>
      <c r="G546" t="s">
        <v>79</v>
      </c>
      <c r="H546" t="s">
        <v>39</v>
      </c>
      <c r="I546" t="s">
        <v>44</v>
      </c>
      <c r="J546">
        <v>1300</v>
      </c>
      <c r="K546">
        <v>1110</v>
      </c>
      <c r="L546">
        <v>35</v>
      </c>
      <c r="M546">
        <v>15</v>
      </c>
      <c r="N546">
        <v>998</v>
      </c>
      <c r="O546">
        <v>45.8</v>
      </c>
      <c r="P546">
        <v>1.7</v>
      </c>
      <c r="Q546" t="s">
        <v>80</v>
      </c>
      <c r="R546" t="s">
        <v>81</v>
      </c>
      <c r="S546" t="s">
        <v>82</v>
      </c>
      <c r="T546">
        <v>5</v>
      </c>
      <c r="U546">
        <v>2</v>
      </c>
      <c r="V546" s="6">
        <v>392.84</v>
      </c>
      <c r="W546" s="6">
        <v>5494.61</v>
      </c>
      <c r="X546" t="s">
        <v>94</v>
      </c>
      <c r="Y546" s="7">
        <f t="shared" si="63"/>
        <v>3.1531531531531529E-2</v>
      </c>
      <c r="Z546" s="7">
        <f t="shared" si="64"/>
        <v>0.89909909909909913</v>
      </c>
      <c r="AA546">
        <f t="shared" si="65"/>
        <v>190</v>
      </c>
      <c r="AB546" s="8">
        <f t="shared" si="66"/>
        <v>13749.4</v>
      </c>
      <c r="AC546">
        <f t="shared" si="67"/>
        <v>38.299999999999997</v>
      </c>
      <c r="AD546" t="str">
        <f t="shared" si="68"/>
        <v>Low</v>
      </c>
      <c r="AE546" t="str">
        <f t="shared" si="69"/>
        <v>No</v>
      </c>
    </row>
    <row r="547" spans="1:31" x14ac:dyDescent="0.35">
      <c r="A547" t="s">
        <v>660</v>
      </c>
      <c r="B547" s="5">
        <v>46279</v>
      </c>
      <c r="C547" t="s">
        <v>640</v>
      </c>
      <c r="D547" t="s">
        <v>22</v>
      </c>
      <c r="E547" t="s">
        <v>93</v>
      </c>
      <c r="F547" t="s">
        <v>30</v>
      </c>
      <c r="G547" t="s">
        <v>90</v>
      </c>
      <c r="H547" t="s">
        <v>38</v>
      </c>
      <c r="I547" t="s">
        <v>42</v>
      </c>
      <c r="J547">
        <v>1244</v>
      </c>
      <c r="K547">
        <v>1066</v>
      </c>
      <c r="L547">
        <v>30</v>
      </c>
      <c r="M547">
        <v>18</v>
      </c>
      <c r="N547">
        <v>1000</v>
      </c>
      <c r="O547">
        <v>20.399999999999999</v>
      </c>
      <c r="P547">
        <v>0.6</v>
      </c>
      <c r="Q547" t="s">
        <v>80</v>
      </c>
      <c r="R547" t="s">
        <v>81</v>
      </c>
      <c r="S547" t="s">
        <v>100</v>
      </c>
      <c r="T547">
        <v>6</v>
      </c>
      <c r="U547">
        <v>2</v>
      </c>
      <c r="V547" s="6">
        <v>412.31</v>
      </c>
      <c r="W547" s="6">
        <v>9102.89</v>
      </c>
      <c r="X547" t="s">
        <v>83</v>
      </c>
      <c r="Y547" s="7">
        <f t="shared" si="63"/>
        <v>2.8142589118198873E-2</v>
      </c>
      <c r="Z547" s="7">
        <f t="shared" si="64"/>
        <v>0.93808630393996251</v>
      </c>
      <c r="AA547">
        <f t="shared" si="65"/>
        <v>178</v>
      </c>
      <c r="AB547" s="8">
        <f t="shared" si="66"/>
        <v>12369.3</v>
      </c>
      <c r="AC547">
        <f t="shared" si="67"/>
        <v>31.7</v>
      </c>
      <c r="AD547" t="str">
        <f t="shared" si="68"/>
        <v>Low</v>
      </c>
      <c r="AE547" t="str">
        <f t="shared" si="69"/>
        <v>No</v>
      </c>
    </row>
    <row r="548" spans="1:31" x14ac:dyDescent="0.35">
      <c r="A548" t="s">
        <v>661</v>
      </c>
      <c r="B548" s="5">
        <v>46279</v>
      </c>
      <c r="C548" t="s">
        <v>640</v>
      </c>
      <c r="D548" t="s">
        <v>22</v>
      </c>
      <c r="E548" t="s">
        <v>93</v>
      </c>
      <c r="F548" t="s">
        <v>27</v>
      </c>
      <c r="G548" t="s">
        <v>85</v>
      </c>
      <c r="H548" t="s">
        <v>38</v>
      </c>
      <c r="I548" t="s">
        <v>47</v>
      </c>
      <c r="J548">
        <v>1476</v>
      </c>
      <c r="K548">
        <v>1301</v>
      </c>
      <c r="L548">
        <v>26</v>
      </c>
      <c r="M548">
        <v>19</v>
      </c>
      <c r="N548">
        <v>1276</v>
      </c>
      <c r="O548">
        <v>62.7</v>
      </c>
      <c r="P548">
        <v>9.6</v>
      </c>
      <c r="Q548" t="s">
        <v>80</v>
      </c>
      <c r="R548" t="s">
        <v>81</v>
      </c>
      <c r="S548" t="s">
        <v>82</v>
      </c>
      <c r="T548">
        <v>4</v>
      </c>
      <c r="U548">
        <v>2</v>
      </c>
      <c r="V548" s="6">
        <v>329.43</v>
      </c>
      <c r="W548" s="6">
        <v>5355.45</v>
      </c>
      <c r="X548" t="s">
        <v>110</v>
      </c>
      <c r="Y548" s="7">
        <f t="shared" si="63"/>
        <v>1.9984627209838585E-2</v>
      </c>
      <c r="Z548" s="7">
        <f t="shared" si="64"/>
        <v>0.98078401229823209</v>
      </c>
      <c r="AA548">
        <f t="shared" si="65"/>
        <v>175</v>
      </c>
      <c r="AB548" s="8">
        <f t="shared" si="66"/>
        <v>8565.18</v>
      </c>
      <c r="AC548">
        <f t="shared" si="67"/>
        <v>33.299999999999997</v>
      </c>
      <c r="AD548" t="str">
        <f t="shared" si="68"/>
        <v>Low</v>
      </c>
      <c r="AE548" t="str">
        <f t="shared" si="69"/>
        <v>No</v>
      </c>
    </row>
    <row r="549" spans="1:31" x14ac:dyDescent="0.35">
      <c r="A549" t="s">
        <v>662</v>
      </c>
      <c r="B549" s="5">
        <v>46279</v>
      </c>
      <c r="C549" t="s">
        <v>640</v>
      </c>
      <c r="D549" t="s">
        <v>24</v>
      </c>
      <c r="E549" t="s">
        <v>78</v>
      </c>
      <c r="F549" t="s">
        <v>29</v>
      </c>
      <c r="G549" t="s">
        <v>79</v>
      </c>
      <c r="H549" t="s">
        <v>38</v>
      </c>
      <c r="I549" t="s">
        <v>47</v>
      </c>
      <c r="J549">
        <v>828</v>
      </c>
      <c r="K549">
        <v>789</v>
      </c>
      <c r="L549">
        <v>12</v>
      </c>
      <c r="M549">
        <v>6</v>
      </c>
      <c r="N549">
        <v>707</v>
      </c>
      <c r="O549">
        <v>23.2</v>
      </c>
      <c r="P549">
        <v>0</v>
      </c>
      <c r="Q549" t="s">
        <v>80</v>
      </c>
      <c r="R549" t="s">
        <v>81</v>
      </c>
      <c r="S549" t="s">
        <v>100</v>
      </c>
      <c r="T549">
        <v>3</v>
      </c>
      <c r="U549">
        <v>2</v>
      </c>
      <c r="V549" s="6">
        <v>360.93</v>
      </c>
      <c r="W549" s="6">
        <v>2985.35</v>
      </c>
      <c r="X549" t="s">
        <v>94</v>
      </c>
      <c r="Y549" s="7">
        <f t="shared" si="63"/>
        <v>1.5209125475285171E-2</v>
      </c>
      <c r="Z549" s="7">
        <f t="shared" si="64"/>
        <v>0.89607097591888463</v>
      </c>
      <c r="AA549">
        <f t="shared" si="65"/>
        <v>39</v>
      </c>
      <c r="AB549" s="8">
        <f t="shared" si="66"/>
        <v>4331.16</v>
      </c>
      <c r="AC549">
        <f t="shared" si="67"/>
        <v>19.899999999999999</v>
      </c>
      <c r="AD549" t="str">
        <f t="shared" si="68"/>
        <v>Low</v>
      </c>
      <c r="AE549" t="str">
        <f t="shared" si="69"/>
        <v>No</v>
      </c>
    </row>
    <row r="550" spans="1:31" x14ac:dyDescent="0.35">
      <c r="A550" t="s">
        <v>663</v>
      </c>
      <c r="B550" s="5">
        <v>46279</v>
      </c>
      <c r="C550" t="s">
        <v>640</v>
      </c>
      <c r="D550" t="s">
        <v>25</v>
      </c>
      <c r="E550" t="s">
        <v>89</v>
      </c>
      <c r="F550" t="s">
        <v>30</v>
      </c>
      <c r="G550" t="s">
        <v>90</v>
      </c>
      <c r="H550" t="s">
        <v>34</v>
      </c>
      <c r="I550" t="s">
        <v>45</v>
      </c>
      <c r="J550">
        <v>1310</v>
      </c>
      <c r="K550">
        <v>1137</v>
      </c>
      <c r="L550">
        <v>48</v>
      </c>
      <c r="M550">
        <v>38</v>
      </c>
      <c r="N550">
        <v>1050</v>
      </c>
      <c r="O550">
        <v>51.2</v>
      </c>
      <c r="P550">
        <v>3.8</v>
      </c>
      <c r="Q550" t="s">
        <v>80</v>
      </c>
      <c r="R550" t="s">
        <v>81</v>
      </c>
      <c r="S550" t="s">
        <v>82</v>
      </c>
      <c r="T550">
        <v>5</v>
      </c>
      <c r="U550">
        <v>4</v>
      </c>
      <c r="V550" s="6">
        <v>265.88</v>
      </c>
      <c r="W550" s="6">
        <v>8281.99</v>
      </c>
      <c r="X550" t="s">
        <v>94</v>
      </c>
      <c r="Y550" s="7">
        <f t="shared" si="63"/>
        <v>4.221635883905013E-2</v>
      </c>
      <c r="Z550" s="7">
        <f t="shared" si="64"/>
        <v>0.92348284960422167</v>
      </c>
      <c r="AA550">
        <f t="shared" si="65"/>
        <v>173</v>
      </c>
      <c r="AB550" s="8">
        <f t="shared" si="66"/>
        <v>12762.24</v>
      </c>
      <c r="AC550">
        <f t="shared" si="67"/>
        <v>50.6</v>
      </c>
      <c r="AD550" t="str">
        <f t="shared" si="68"/>
        <v>Medium</v>
      </c>
      <c r="AE550" t="str">
        <f t="shared" si="69"/>
        <v>No</v>
      </c>
    </row>
    <row r="551" spans="1:31" x14ac:dyDescent="0.35">
      <c r="A551" t="s">
        <v>664</v>
      </c>
      <c r="B551" s="5">
        <v>46279</v>
      </c>
      <c r="C551" t="s">
        <v>640</v>
      </c>
      <c r="D551" t="s">
        <v>23</v>
      </c>
      <c r="E551" t="s">
        <v>78</v>
      </c>
      <c r="F551" t="s">
        <v>32</v>
      </c>
      <c r="G551" t="s">
        <v>79</v>
      </c>
      <c r="H551" t="s">
        <v>39</v>
      </c>
      <c r="I551" t="s">
        <v>47</v>
      </c>
      <c r="J551">
        <v>872</v>
      </c>
      <c r="K551">
        <v>780</v>
      </c>
      <c r="L551">
        <v>16</v>
      </c>
      <c r="M551">
        <v>10</v>
      </c>
      <c r="N551">
        <v>703</v>
      </c>
      <c r="O551">
        <v>58</v>
      </c>
      <c r="P551">
        <v>2.9</v>
      </c>
      <c r="Q551" t="s">
        <v>80</v>
      </c>
      <c r="R551" t="s">
        <v>81</v>
      </c>
      <c r="S551" t="s">
        <v>82</v>
      </c>
      <c r="T551">
        <v>2</v>
      </c>
      <c r="U551">
        <v>1</v>
      </c>
      <c r="V551" s="6">
        <v>433.95</v>
      </c>
      <c r="W551" s="6">
        <v>4023.47</v>
      </c>
      <c r="X551" t="s">
        <v>87</v>
      </c>
      <c r="Y551" s="7">
        <f t="shared" si="63"/>
        <v>2.0512820512820513E-2</v>
      </c>
      <c r="Z551" s="7">
        <f t="shared" si="64"/>
        <v>0.9012820512820513</v>
      </c>
      <c r="AA551">
        <f t="shared" si="65"/>
        <v>92</v>
      </c>
      <c r="AB551" s="8">
        <f t="shared" si="66"/>
        <v>6943.2</v>
      </c>
      <c r="AC551">
        <f t="shared" si="67"/>
        <v>28.7</v>
      </c>
      <c r="AD551" t="str">
        <f t="shared" si="68"/>
        <v>Low</v>
      </c>
      <c r="AE551" t="str">
        <f t="shared" si="69"/>
        <v>No</v>
      </c>
    </row>
    <row r="552" spans="1:31" x14ac:dyDescent="0.35">
      <c r="A552" t="s">
        <v>665</v>
      </c>
      <c r="B552" s="5">
        <v>46279</v>
      </c>
      <c r="C552" t="s">
        <v>640</v>
      </c>
      <c r="D552" t="s">
        <v>22</v>
      </c>
      <c r="E552" t="s">
        <v>93</v>
      </c>
      <c r="F552" t="s">
        <v>29</v>
      </c>
      <c r="G552" t="s">
        <v>79</v>
      </c>
      <c r="H552" t="s">
        <v>34</v>
      </c>
      <c r="I552" t="s">
        <v>45</v>
      </c>
      <c r="J552">
        <v>1481</v>
      </c>
      <c r="K552">
        <v>1392</v>
      </c>
      <c r="L552">
        <v>21</v>
      </c>
      <c r="M552">
        <v>13</v>
      </c>
      <c r="N552">
        <v>1272</v>
      </c>
      <c r="O552">
        <v>56.7</v>
      </c>
      <c r="P552">
        <v>9.4</v>
      </c>
      <c r="Q552" t="s">
        <v>80</v>
      </c>
      <c r="R552" t="s">
        <v>81</v>
      </c>
      <c r="S552" t="s">
        <v>82</v>
      </c>
      <c r="T552">
        <v>5</v>
      </c>
      <c r="U552">
        <v>2</v>
      </c>
      <c r="V552" s="6">
        <v>354.34</v>
      </c>
      <c r="W552" s="6">
        <v>4733.0600000000004</v>
      </c>
      <c r="X552" t="s">
        <v>110</v>
      </c>
      <c r="Y552" s="7">
        <f t="shared" si="63"/>
        <v>1.5086206896551725E-2</v>
      </c>
      <c r="Z552" s="7">
        <f t="shared" si="64"/>
        <v>0.91379310344827591</v>
      </c>
      <c r="AA552">
        <f t="shared" si="65"/>
        <v>89</v>
      </c>
      <c r="AB552" s="8">
        <f t="shared" si="66"/>
        <v>7441.1399999999994</v>
      </c>
      <c r="AC552">
        <f t="shared" si="67"/>
        <v>31.2</v>
      </c>
      <c r="AD552" t="str">
        <f t="shared" si="68"/>
        <v>Low</v>
      </c>
      <c r="AE552" t="str">
        <f t="shared" si="69"/>
        <v>No</v>
      </c>
    </row>
    <row r="553" spans="1:31" x14ac:dyDescent="0.35">
      <c r="A553" t="s">
        <v>666</v>
      </c>
      <c r="B553" s="5">
        <v>46279</v>
      </c>
      <c r="C553" t="s">
        <v>640</v>
      </c>
      <c r="D553" t="s">
        <v>23</v>
      </c>
      <c r="E553" t="s">
        <v>78</v>
      </c>
      <c r="F553" t="s">
        <v>31</v>
      </c>
      <c r="G553" t="s">
        <v>79</v>
      </c>
      <c r="H553" t="s">
        <v>34</v>
      </c>
      <c r="I553" t="s">
        <v>48</v>
      </c>
      <c r="J553">
        <v>1091</v>
      </c>
      <c r="K553">
        <v>935</v>
      </c>
      <c r="L553">
        <v>16</v>
      </c>
      <c r="M553">
        <v>11</v>
      </c>
      <c r="N553">
        <v>834</v>
      </c>
      <c r="O553">
        <v>26.1</v>
      </c>
      <c r="P553">
        <v>4.9000000000000004</v>
      </c>
      <c r="Q553" t="s">
        <v>86</v>
      </c>
      <c r="R553" t="s">
        <v>81</v>
      </c>
      <c r="S553" t="s">
        <v>82</v>
      </c>
      <c r="T553">
        <v>2</v>
      </c>
      <c r="U553">
        <v>2</v>
      </c>
      <c r="V553" s="6">
        <v>55.04</v>
      </c>
      <c r="W553" s="6">
        <v>359.65</v>
      </c>
      <c r="X553" t="s">
        <v>94</v>
      </c>
      <c r="Y553" s="7">
        <f t="shared" ref="Y553:Y574" si="70">IFERROR(L553/K553,0)</f>
        <v>1.7112299465240642E-2</v>
      </c>
      <c r="Z553" s="7">
        <f t="shared" ref="Z553:Z574" si="71">IFERROR(N553/K553,0)</f>
        <v>0.89197860962566844</v>
      </c>
      <c r="AA553">
        <f t="shared" ref="AA553:AA574" si="72">J553-K553</f>
        <v>156</v>
      </c>
      <c r="AB553" s="8">
        <f t="shared" ref="AB553:AB574" si="73">L553*V553</f>
        <v>880.64</v>
      </c>
      <c r="AC553">
        <f t="shared" ref="AC553:AC574" si="74">ROUND(MIN(100,(Y553*1000)+(1-Z553)*45+(P553*1.3)+IF(Q553="Late",18,IF(Q553="Pending",10,0))+IF(R553="Yes",20,0)+IF(S553="Decision Required",12,0)),1)</f>
        <v>46.3</v>
      </c>
      <c r="AD553" t="str">
        <f t="shared" ref="AD553:AD584" si="75">IF(AC553&gt;=65,"High",IF(AC553&gt;=40,"Medium","Low"))</f>
        <v>Medium</v>
      </c>
      <c r="AE553" t="str">
        <f t="shared" ref="AE553:AE584" si="76">IF(OR(AD553="High",Q553="Late",R553="Yes",S553="Decision Required"),"Yes","No")</f>
        <v>Yes</v>
      </c>
    </row>
    <row r="554" spans="1:31" x14ac:dyDescent="0.35">
      <c r="A554" t="s">
        <v>667</v>
      </c>
      <c r="B554" s="5">
        <v>46279</v>
      </c>
      <c r="C554" t="s">
        <v>640</v>
      </c>
      <c r="D554" t="s">
        <v>25</v>
      </c>
      <c r="E554" t="s">
        <v>89</v>
      </c>
      <c r="F554" t="s">
        <v>32</v>
      </c>
      <c r="G554" t="s">
        <v>85</v>
      </c>
      <c r="H554" t="s">
        <v>34</v>
      </c>
      <c r="I554" t="s">
        <v>47</v>
      </c>
      <c r="J554">
        <v>1146</v>
      </c>
      <c r="K554">
        <v>1096</v>
      </c>
      <c r="L554">
        <v>5</v>
      </c>
      <c r="M554">
        <v>2</v>
      </c>
      <c r="N554">
        <v>1025</v>
      </c>
      <c r="O554">
        <v>24.2</v>
      </c>
      <c r="P554">
        <v>21.9</v>
      </c>
      <c r="Q554" t="s">
        <v>80</v>
      </c>
      <c r="R554" t="s">
        <v>81</v>
      </c>
      <c r="S554" t="s">
        <v>82</v>
      </c>
      <c r="T554">
        <v>0</v>
      </c>
      <c r="U554">
        <v>1</v>
      </c>
      <c r="V554" s="6">
        <v>159.21</v>
      </c>
      <c r="W554" s="6">
        <v>396.55</v>
      </c>
      <c r="X554" t="s">
        <v>94</v>
      </c>
      <c r="Y554" s="7">
        <f t="shared" si="70"/>
        <v>4.5620437956204376E-3</v>
      </c>
      <c r="Z554" s="7">
        <f t="shared" si="71"/>
        <v>0.93521897810218979</v>
      </c>
      <c r="AA554">
        <f t="shared" si="72"/>
        <v>50</v>
      </c>
      <c r="AB554" s="8">
        <f t="shared" si="73"/>
        <v>796.05000000000007</v>
      </c>
      <c r="AC554">
        <f t="shared" si="74"/>
        <v>35.9</v>
      </c>
      <c r="AD554" t="str">
        <f t="shared" si="75"/>
        <v>Low</v>
      </c>
      <c r="AE554" t="str">
        <f t="shared" si="76"/>
        <v>No</v>
      </c>
    </row>
    <row r="555" spans="1:31" x14ac:dyDescent="0.35">
      <c r="A555" t="s">
        <v>668</v>
      </c>
      <c r="B555" s="5">
        <v>46279</v>
      </c>
      <c r="C555" t="s">
        <v>640</v>
      </c>
      <c r="D555" t="s">
        <v>22</v>
      </c>
      <c r="E555" t="s">
        <v>93</v>
      </c>
      <c r="F555" t="s">
        <v>32</v>
      </c>
      <c r="G555" t="s">
        <v>79</v>
      </c>
      <c r="H555" t="s">
        <v>39</v>
      </c>
      <c r="I555" t="s">
        <v>42</v>
      </c>
      <c r="J555">
        <v>1214</v>
      </c>
      <c r="K555">
        <v>1048</v>
      </c>
      <c r="L555">
        <v>19</v>
      </c>
      <c r="M555">
        <v>15</v>
      </c>
      <c r="N555">
        <v>1020</v>
      </c>
      <c r="O555">
        <v>51</v>
      </c>
      <c r="P555">
        <v>8.6</v>
      </c>
      <c r="Q555" t="s">
        <v>80</v>
      </c>
      <c r="R555" t="s">
        <v>81</v>
      </c>
      <c r="S555" t="s">
        <v>138</v>
      </c>
      <c r="T555">
        <v>0</v>
      </c>
      <c r="U555">
        <v>1</v>
      </c>
      <c r="V555" s="6">
        <v>300.39</v>
      </c>
      <c r="W555" s="6">
        <v>4291.57</v>
      </c>
      <c r="X555" t="s">
        <v>110</v>
      </c>
      <c r="Y555" s="7">
        <f t="shared" si="70"/>
        <v>1.8129770992366411E-2</v>
      </c>
      <c r="Z555" s="7">
        <f t="shared" si="71"/>
        <v>0.97328244274809161</v>
      </c>
      <c r="AA555">
        <f t="shared" si="72"/>
        <v>166</v>
      </c>
      <c r="AB555" s="8">
        <f t="shared" si="73"/>
        <v>5707.41</v>
      </c>
      <c r="AC555">
        <f t="shared" si="74"/>
        <v>42.5</v>
      </c>
      <c r="AD555" t="str">
        <f t="shared" si="75"/>
        <v>Medium</v>
      </c>
      <c r="AE555" t="str">
        <f t="shared" si="76"/>
        <v>Yes</v>
      </c>
    </row>
    <row r="556" spans="1:31" x14ac:dyDescent="0.35">
      <c r="A556" t="s">
        <v>669</v>
      </c>
      <c r="B556" s="5">
        <v>46279</v>
      </c>
      <c r="C556" t="s">
        <v>640</v>
      </c>
      <c r="D556" t="s">
        <v>25</v>
      </c>
      <c r="E556" t="s">
        <v>89</v>
      </c>
      <c r="F556" t="s">
        <v>29</v>
      </c>
      <c r="G556" t="s">
        <v>79</v>
      </c>
      <c r="H556" t="s">
        <v>39</v>
      </c>
      <c r="I556" t="s">
        <v>42</v>
      </c>
      <c r="J556">
        <v>1157</v>
      </c>
      <c r="K556">
        <v>1119</v>
      </c>
      <c r="L556">
        <v>31</v>
      </c>
      <c r="M556">
        <v>13</v>
      </c>
      <c r="N556">
        <v>1119</v>
      </c>
      <c r="O556">
        <v>61.7</v>
      </c>
      <c r="P556">
        <v>16.100000000000001</v>
      </c>
      <c r="Q556" t="s">
        <v>80</v>
      </c>
      <c r="R556" t="s">
        <v>81</v>
      </c>
      <c r="S556" t="s">
        <v>82</v>
      </c>
      <c r="T556">
        <v>11</v>
      </c>
      <c r="U556">
        <v>2</v>
      </c>
      <c r="V556" s="6">
        <v>372.49</v>
      </c>
      <c r="W556" s="6">
        <v>6080.59</v>
      </c>
      <c r="X556" t="s">
        <v>94</v>
      </c>
      <c r="Y556" s="7">
        <f t="shared" si="70"/>
        <v>2.7703306523681859E-2</v>
      </c>
      <c r="Z556" s="7">
        <f t="shared" si="71"/>
        <v>1</v>
      </c>
      <c r="AA556">
        <f t="shared" si="72"/>
        <v>38</v>
      </c>
      <c r="AB556" s="8">
        <f t="shared" si="73"/>
        <v>11547.19</v>
      </c>
      <c r="AC556">
        <f t="shared" si="74"/>
        <v>48.6</v>
      </c>
      <c r="AD556" t="str">
        <f t="shared" si="75"/>
        <v>Medium</v>
      </c>
      <c r="AE556" t="str">
        <f t="shared" si="76"/>
        <v>No</v>
      </c>
    </row>
    <row r="557" spans="1:31" x14ac:dyDescent="0.35">
      <c r="A557" t="s">
        <v>670</v>
      </c>
      <c r="B557" s="5">
        <v>46286</v>
      </c>
      <c r="C557" t="s">
        <v>640</v>
      </c>
      <c r="D557" t="s">
        <v>20</v>
      </c>
      <c r="E557" t="s">
        <v>78</v>
      </c>
      <c r="F557" t="s">
        <v>30</v>
      </c>
      <c r="G557" t="s">
        <v>90</v>
      </c>
      <c r="H557" t="s">
        <v>39</v>
      </c>
      <c r="I557" t="s">
        <v>45</v>
      </c>
      <c r="J557">
        <v>1305</v>
      </c>
      <c r="K557">
        <v>1202</v>
      </c>
      <c r="L557">
        <v>43</v>
      </c>
      <c r="M557">
        <v>17</v>
      </c>
      <c r="N557">
        <v>1149</v>
      </c>
      <c r="O557">
        <v>50.8</v>
      </c>
      <c r="P557">
        <v>13.7</v>
      </c>
      <c r="Q557" t="s">
        <v>80</v>
      </c>
      <c r="R557" t="s">
        <v>81</v>
      </c>
      <c r="S557" t="s">
        <v>82</v>
      </c>
      <c r="T557">
        <v>8</v>
      </c>
      <c r="U557">
        <v>2</v>
      </c>
      <c r="V557" s="6">
        <v>65.569999999999993</v>
      </c>
      <c r="W557" s="6">
        <v>1700.33</v>
      </c>
      <c r="X557" t="s">
        <v>94</v>
      </c>
      <c r="Y557" s="7">
        <f t="shared" si="70"/>
        <v>3.5773710482529121E-2</v>
      </c>
      <c r="Z557" s="7">
        <f t="shared" si="71"/>
        <v>0.95590682196339438</v>
      </c>
      <c r="AA557">
        <f t="shared" si="72"/>
        <v>103</v>
      </c>
      <c r="AB557" s="8">
        <f t="shared" si="73"/>
        <v>2819.5099999999998</v>
      </c>
      <c r="AC557">
        <f t="shared" si="74"/>
        <v>55.6</v>
      </c>
      <c r="AD557" t="str">
        <f t="shared" si="75"/>
        <v>Medium</v>
      </c>
      <c r="AE557" t="str">
        <f t="shared" si="76"/>
        <v>No</v>
      </c>
    </row>
    <row r="558" spans="1:31" x14ac:dyDescent="0.35">
      <c r="A558" t="s">
        <v>671</v>
      </c>
      <c r="B558" s="5">
        <v>46286</v>
      </c>
      <c r="C558" t="s">
        <v>640</v>
      </c>
      <c r="D558" t="s">
        <v>25</v>
      </c>
      <c r="E558" t="s">
        <v>89</v>
      </c>
      <c r="F558" t="s">
        <v>29</v>
      </c>
      <c r="G558" t="s">
        <v>90</v>
      </c>
      <c r="H558" t="s">
        <v>40</v>
      </c>
      <c r="I558" t="s">
        <v>48</v>
      </c>
      <c r="J558">
        <v>1385</v>
      </c>
      <c r="K558">
        <v>1288</v>
      </c>
      <c r="L558">
        <v>58</v>
      </c>
      <c r="M558">
        <v>29</v>
      </c>
      <c r="N558">
        <v>1173</v>
      </c>
      <c r="O558">
        <v>64</v>
      </c>
      <c r="P558">
        <v>10.1</v>
      </c>
      <c r="Q558" t="s">
        <v>80</v>
      </c>
      <c r="R558" t="s">
        <v>81</v>
      </c>
      <c r="S558" t="s">
        <v>100</v>
      </c>
      <c r="T558">
        <v>10</v>
      </c>
      <c r="U558">
        <v>6</v>
      </c>
      <c r="V558" s="6">
        <v>409.35</v>
      </c>
      <c r="W558" s="6">
        <v>8730.2800000000007</v>
      </c>
      <c r="X558" t="s">
        <v>91</v>
      </c>
      <c r="Y558" s="7">
        <f t="shared" si="70"/>
        <v>4.503105590062112E-2</v>
      </c>
      <c r="Z558" s="7">
        <f t="shared" si="71"/>
        <v>0.9107142857142857</v>
      </c>
      <c r="AA558">
        <f t="shared" si="72"/>
        <v>97</v>
      </c>
      <c r="AB558" s="8">
        <f t="shared" si="73"/>
        <v>23742.300000000003</v>
      </c>
      <c r="AC558">
        <f t="shared" si="74"/>
        <v>62.2</v>
      </c>
      <c r="AD558" t="str">
        <f t="shared" si="75"/>
        <v>Medium</v>
      </c>
      <c r="AE558" t="str">
        <f t="shared" si="76"/>
        <v>No</v>
      </c>
    </row>
    <row r="559" spans="1:31" x14ac:dyDescent="0.35">
      <c r="A559" t="s">
        <v>672</v>
      </c>
      <c r="B559" s="5">
        <v>46286</v>
      </c>
      <c r="C559" t="s">
        <v>640</v>
      </c>
      <c r="D559" t="s">
        <v>23</v>
      </c>
      <c r="E559" t="s">
        <v>78</v>
      </c>
      <c r="F559" t="s">
        <v>29</v>
      </c>
      <c r="G559" t="s">
        <v>90</v>
      </c>
      <c r="H559" t="s">
        <v>40</v>
      </c>
      <c r="I559" t="s">
        <v>42</v>
      </c>
      <c r="J559">
        <v>1269</v>
      </c>
      <c r="K559">
        <v>1102</v>
      </c>
      <c r="L559">
        <v>42</v>
      </c>
      <c r="M559">
        <v>25</v>
      </c>
      <c r="N559">
        <v>1100</v>
      </c>
      <c r="O559">
        <v>26.3</v>
      </c>
      <c r="P559">
        <v>17.5</v>
      </c>
      <c r="Q559" t="s">
        <v>96</v>
      </c>
      <c r="R559" t="s">
        <v>81</v>
      </c>
      <c r="S559" t="s">
        <v>82</v>
      </c>
      <c r="T559">
        <v>5</v>
      </c>
      <c r="U559">
        <v>3</v>
      </c>
      <c r="V559" s="6">
        <v>226.55</v>
      </c>
      <c r="W559" s="6">
        <v>5057.34</v>
      </c>
      <c r="X559" t="s">
        <v>94</v>
      </c>
      <c r="Y559" s="7">
        <f t="shared" si="70"/>
        <v>3.8112522686025406E-2</v>
      </c>
      <c r="Z559" s="7">
        <f t="shared" si="71"/>
        <v>0.99818511796733211</v>
      </c>
      <c r="AA559">
        <f t="shared" si="72"/>
        <v>167</v>
      </c>
      <c r="AB559" s="8">
        <f t="shared" si="73"/>
        <v>9515.1</v>
      </c>
      <c r="AC559">
        <f t="shared" si="74"/>
        <v>70.900000000000006</v>
      </c>
      <c r="AD559" t="str">
        <f t="shared" si="75"/>
        <v>High</v>
      </c>
      <c r="AE559" t="str">
        <f t="shared" si="76"/>
        <v>Yes</v>
      </c>
    </row>
    <row r="560" spans="1:31" x14ac:dyDescent="0.35">
      <c r="A560" t="s">
        <v>673</v>
      </c>
      <c r="B560" s="5">
        <v>46286</v>
      </c>
      <c r="C560" t="s">
        <v>640</v>
      </c>
      <c r="D560" t="s">
        <v>23</v>
      </c>
      <c r="E560" t="s">
        <v>78</v>
      </c>
      <c r="F560" t="s">
        <v>31</v>
      </c>
      <c r="G560" t="s">
        <v>85</v>
      </c>
      <c r="H560" t="s">
        <v>37</v>
      </c>
      <c r="I560" t="s">
        <v>42</v>
      </c>
      <c r="J560">
        <v>915</v>
      </c>
      <c r="K560">
        <v>876</v>
      </c>
      <c r="L560">
        <v>19</v>
      </c>
      <c r="M560">
        <v>15</v>
      </c>
      <c r="N560">
        <v>823</v>
      </c>
      <c r="O560">
        <v>24.8</v>
      </c>
      <c r="P560">
        <v>12.8</v>
      </c>
      <c r="Q560" t="s">
        <v>80</v>
      </c>
      <c r="R560" t="s">
        <v>81</v>
      </c>
      <c r="S560" t="s">
        <v>82</v>
      </c>
      <c r="T560">
        <v>7</v>
      </c>
      <c r="U560">
        <v>4</v>
      </c>
      <c r="V560" s="6">
        <v>446.35</v>
      </c>
      <c r="W560" s="6">
        <v>5146.22</v>
      </c>
      <c r="X560" t="s">
        <v>94</v>
      </c>
      <c r="Y560" s="7">
        <f t="shared" si="70"/>
        <v>2.1689497716894976E-2</v>
      </c>
      <c r="Z560" s="7">
        <f t="shared" si="71"/>
        <v>0.93949771689497719</v>
      </c>
      <c r="AA560">
        <f t="shared" si="72"/>
        <v>39</v>
      </c>
      <c r="AB560" s="8">
        <f t="shared" si="73"/>
        <v>8480.65</v>
      </c>
      <c r="AC560">
        <f t="shared" si="74"/>
        <v>41.1</v>
      </c>
      <c r="AD560" t="str">
        <f t="shared" si="75"/>
        <v>Medium</v>
      </c>
      <c r="AE560" t="str">
        <f t="shared" si="76"/>
        <v>No</v>
      </c>
    </row>
    <row r="561" spans="1:31" x14ac:dyDescent="0.35">
      <c r="A561" t="s">
        <v>674</v>
      </c>
      <c r="B561" s="5">
        <v>46286</v>
      </c>
      <c r="C561" t="s">
        <v>640</v>
      </c>
      <c r="D561" t="s">
        <v>23</v>
      </c>
      <c r="E561" t="s">
        <v>78</v>
      </c>
      <c r="F561" t="s">
        <v>30</v>
      </c>
      <c r="G561" t="s">
        <v>85</v>
      </c>
      <c r="H561" t="s">
        <v>34</v>
      </c>
      <c r="I561" t="s">
        <v>46</v>
      </c>
      <c r="J561">
        <v>1340</v>
      </c>
      <c r="K561">
        <v>1215</v>
      </c>
      <c r="L561">
        <v>4</v>
      </c>
      <c r="M561">
        <v>2</v>
      </c>
      <c r="N561">
        <v>1114</v>
      </c>
      <c r="O561">
        <v>52</v>
      </c>
      <c r="P561">
        <v>4.5999999999999996</v>
      </c>
      <c r="Q561" t="s">
        <v>80</v>
      </c>
      <c r="R561" t="s">
        <v>81</v>
      </c>
      <c r="S561" t="s">
        <v>82</v>
      </c>
      <c r="T561">
        <v>0</v>
      </c>
      <c r="U561">
        <v>0</v>
      </c>
      <c r="V561" s="6">
        <v>35.799999999999997</v>
      </c>
      <c r="W561" s="6">
        <v>85.85</v>
      </c>
      <c r="X561" t="s">
        <v>94</v>
      </c>
      <c r="Y561" s="7">
        <f t="shared" si="70"/>
        <v>3.2921810699588477E-3</v>
      </c>
      <c r="Z561" s="7">
        <f t="shared" si="71"/>
        <v>0.91687242798353907</v>
      </c>
      <c r="AA561">
        <f t="shared" si="72"/>
        <v>125</v>
      </c>
      <c r="AB561" s="8">
        <f t="shared" si="73"/>
        <v>143.19999999999999</v>
      </c>
      <c r="AC561">
        <f t="shared" si="74"/>
        <v>13</v>
      </c>
      <c r="AD561" t="str">
        <f t="shared" si="75"/>
        <v>Low</v>
      </c>
      <c r="AE561" t="str">
        <f t="shared" si="76"/>
        <v>No</v>
      </c>
    </row>
    <row r="562" spans="1:31" x14ac:dyDescent="0.35">
      <c r="A562" t="s">
        <v>675</v>
      </c>
      <c r="B562" s="5">
        <v>46286</v>
      </c>
      <c r="C562" t="s">
        <v>640</v>
      </c>
      <c r="D562" t="s">
        <v>23</v>
      </c>
      <c r="E562" t="s">
        <v>78</v>
      </c>
      <c r="F562" t="s">
        <v>32</v>
      </c>
      <c r="G562" t="s">
        <v>79</v>
      </c>
      <c r="H562" t="s">
        <v>36</v>
      </c>
      <c r="I562" t="s">
        <v>44</v>
      </c>
      <c r="J562">
        <v>903</v>
      </c>
      <c r="K562">
        <v>829</v>
      </c>
      <c r="L562">
        <v>8</v>
      </c>
      <c r="M562">
        <v>5</v>
      </c>
      <c r="N562">
        <v>777</v>
      </c>
      <c r="O562">
        <v>66.400000000000006</v>
      </c>
      <c r="P562">
        <v>9.1999999999999993</v>
      </c>
      <c r="Q562" t="s">
        <v>96</v>
      </c>
      <c r="R562" t="s">
        <v>81</v>
      </c>
      <c r="S562" t="s">
        <v>82</v>
      </c>
      <c r="T562">
        <v>4</v>
      </c>
      <c r="U562">
        <v>0</v>
      </c>
      <c r="V562" s="6">
        <v>85.95</v>
      </c>
      <c r="W562" s="6">
        <v>434.02</v>
      </c>
      <c r="X562" t="s">
        <v>151</v>
      </c>
      <c r="Y562" s="7">
        <f t="shared" si="70"/>
        <v>9.6501809408926411E-3</v>
      </c>
      <c r="Z562" s="7">
        <f t="shared" si="71"/>
        <v>0.93727382388419778</v>
      </c>
      <c r="AA562">
        <f t="shared" si="72"/>
        <v>74</v>
      </c>
      <c r="AB562" s="8">
        <f t="shared" si="73"/>
        <v>687.6</v>
      </c>
      <c r="AC562">
        <f t="shared" si="74"/>
        <v>34.4</v>
      </c>
      <c r="AD562" t="str">
        <f t="shared" si="75"/>
        <v>Low</v>
      </c>
      <c r="AE562" t="str">
        <f t="shared" si="76"/>
        <v>No</v>
      </c>
    </row>
    <row r="563" spans="1:31" x14ac:dyDescent="0.35">
      <c r="A563" t="s">
        <v>676</v>
      </c>
      <c r="B563" s="5">
        <v>46286</v>
      </c>
      <c r="C563" t="s">
        <v>640</v>
      </c>
      <c r="D563" t="s">
        <v>25</v>
      </c>
      <c r="E563" t="s">
        <v>89</v>
      </c>
      <c r="F563" t="s">
        <v>32</v>
      </c>
      <c r="G563" t="s">
        <v>79</v>
      </c>
      <c r="H563" t="s">
        <v>40</v>
      </c>
      <c r="I563" t="s">
        <v>42</v>
      </c>
      <c r="J563">
        <v>1024</v>
      </c>
      <c r="K563">
        <v>920</v>
      </c>
      <c r="L563">
        <v>4</v>
      </c>
      <c r="M563">
        <v>2</v>
      </c>
      <c r="N563">
        <v>811</v>
      </c>
      <c r="O563">
        <v>74.7</v>
      </c>
      <c r="P563">
        <v>15.7</v>
      </c>
      <c r="Q563" t="s">
        <v>80</v>
      </c>
      <c r="R563" t="s">
        <v>81</v>
      </c>
      <c r="S563" t="s">
        <v>82</v>
      </c>
      <c r="T563">
        <v>4</v>
      </c>
      <c r="U563">
        <v>0</v>
      </c>
      <c r="V563" s="6">
        <v>451.39</v>
      </c>
      <c r="W563" s="6">
        <v>1287.3599999999999</v>
      </c>
      <c r="X563" t="s">
        <v>94</v>
      </c>
      <c r="Y563" s="7">
        <f t="shared" si="70"/>
        <v>4.3478260869565218E-3</v>
      </c>
      <c r="Z563" s="7">
        <f t="shared" si="71"/>
        <v>0.88152173913043474</v>
      </c>
      <c r="AA563">
        <f t="shared" si="72"/>
        <v>104</v>
      </c>
      <c r="AB563" s="8">
        <f t="shared" si="73"/>
        <v>1805.56</v>
      </c>
      <c r="AC563">
        <f t="shared" si="74"/>
        <v>30.1</v>
      </c>
      <c r="AD563" t="str">
        <f t="shared" si="75"/>
        <v>Low</v>
      </c>
      <c r="AE563" t="str">
        <f t="shared" si="76"/>
        <v>No</v>
      </c>
    </row>
    <row r="564" spans="1:31" x14ac:dyDescent="0.35">
      <c r="A564" t="s">
        <v>677</v>
      </c>
      <c r="B564" s="5">
        <v>46286</v>
      </c>
      <c r="C564" t="s">
        <v>640</v>
      </c>
      <c r="D564" t="s">
        <v>20</v>
      </c>
      <c r="E564" t="s">
        <v>78</v>
      </c>
      <c r="F564" t="s">
        <v>27</v>
      </c>
      <c r="G564" t="s">
        <v>79</v>
      </c>
      <c r="H564" t="s">
        <v>38</v>
      </c>
      <c r="I564" t="s">
        <v>48</v>
      </c>
      <c r="J564">
        <v>825</v>
      </c>
      <c r="K564">
        <v>830</v>
      </c>
      <c r="L564">
        <v>35</v>
      </c>
      <c r="M564">
        <v>20</v>
      </c>
      <c r="N564">
        <v>751</v>
      </c>
      <c r="O564">
        <v>33.299999999999997</v>
      </c>
      <c r="P564">
        <v>13.2</v>
      </c>
      <c r="Q564" t="s">
        <v>80</v>
      </c>
      <c r="R564" t="s">
        <v>81</v>
      </c>
      <c r="S564" t="s">
        <v>82</v>
      </c>
      <c r="T564">
        <v>7</v>
      </c>
      <c r="U564">
        <v>3</v>
      </c>
      <c r="V564" s="6">
        <v>420.33</v>
      </c>
      <c r="W564" s="6">
        <v>9042.5400000000009</v>
      </c>
      <c r="X564" t="s">
        <v>91</v>
      </c>
      <c r="Y564" s="7">
        <f t="shared" si="70"/>
        <v>4.2168674698795178E-2</v>
      </c>
      <c r="Z564" s="7">
        <f t="shared" si="71"/>
        <v>0.90481927710843368</v>
      </c>
      <c r="AA564">
        <f t="shared" si="72"/>
        <v>-5</v>
      </c>
      <c r="AB564" s="8">
        <f t="shared" si="73"/>
        <v>14711.55</v>
      </c>
      <c r="AC564">
        <f t="shared" si="74"/>
        <v>63.6</v>
      </c>
      <c r="AD564" t="str">
        <f t="shared" si="75"/>
        <v>Medium</v>
      </c>
      <c r="AE564" t="str">
        <f t="shared" si="76"/>
        <v>No</v>
      </c>
    </row>
    <row r="565" spans="1:31" x14ac:dyDescent="0.35">
      <c r="A565" t="s">
        <v>678</v>
      </c>
      <c r="B565" s="5">
        <v>46286</v>
      </c>
      <c r="C565" t="s">
        <v>640</v>
      </c>
      <c r="D565" t="s">
        <v>23</v>
      </c>
      <c r="E565" t="s">
        <v>78</v>
      </c>
      <c r="F565" t="s">
        <v>31</v>
      </c>
      <c r="G565" t="s">
        <v>85</v>
      </c>
      <c r="H565" t="s">
        <v>37</v>
      </c>
      <c r="I565" t="s">
        <v>47</v>
      </c>
      <c r="J565">
        <v>1439</v>
      </c>
      <c r="K565">
        <v>1349</v>
      </c>
      <c r="L565">
        <v>31</v>
      </c>
      <c r="M565">
        <v>16</v>
      </c>
      <c r="N565">
        <v>1193</v>
      </c>
      <c r="O565">
        <v>48</v>
      </c>
      <c r="P565">
        <v>4.0999999999999996</v>
      </c>
      <c r="Q565" t="s">
        <v>96</v>
      </c>
      <c r="R565" t="s">
        <v>81</v>
      </c>
      <c r="S565" t="s">
        <v>82</v>
      </c>
      <c r="T565">
        <v>7</v>
      </c>
      <c r="U565">
        <v>3</v>
      </c>
      <c r="V565" s="6">
        <v>218.1</v>
      </c>
      <c r="W565" s="6">
        <v>4583.2299999999996</v>
      </c>
      <c r="X565" t="s">
        <v>94</v>
      </c>
      <c r="Y565" s="7">
        <f t="shared" si="70"/>
        <v>2.2979985174203115E-2</v>
      </c>
      <c r="Z565" s="7">
        <f t="shared" si="71"/>
        <v>0.88435878428465531</v>
      </c>
      <c r="AA565">
        <f t="shared" si="72"/>
        <v>90</v>
      </c>
      <c r="AB565" s="8">
        <f t="shared" si="73"/>
        <v>6761.0999999999995</v>
      </c>
      <c r="AC565">
        <f t="shared" si="74"/>
        <v>43.5</v>
      </c>
      <c r="AD565" t="str">
        <f t="shared" si="75"/>
        <v>Medium</v>
      </c>
      <c r="AE565" t="str">
        <f t="shared" si="76"/>
        <v>No</v>
      </c>
    </row>
    <row r="566" spans="1:31" x14ac:dyDescent="0.35">
      <c r="A566" t="s">
        <v>679</v>
      </c>
      <c r="B566" s="5">
        <v>46286</v>
      </c>
      <c r="C566" t="s">
        <v>640</v>
      </c>
      <c r="D566" t="s">
        <v>25</v>
      </c>
      <c r="E566" t="s">
        <v>89</v>
      </c>
      <c r="F566" t="s">
        <v>29</v>
      </c>
      <c r="G566" t="s">
        <v>85</v>
      </c>
      <c r="H566" t="s">
        <v>36</v>
      </c>
      <c r="I566" t="s">
        <v>47</v>
      </c>
      <c r="J566">
        <v>897</v>
      </c>
      <c r="K566">
        <v>888</v>
      </c>
      <c r="L566">
        <v>22</v>
      </c>
      <c r="M566">
        <v>10</v>
      </c>
      <c r="N566">
        <v>796</v>
      </c>
      <c r="O566">
        <v>41.6</v>
      </c>
      <c r="P566">
        <v>8.1</v>
      </c>
      <c r="Q566" t="s">
        <v>80</v>
      </c>
      <c r="R566" t="s">
        <v>81</v>
      </c>
      <c r="S566" t="s">
        <v>138</v>
      </c>
      <c r="T566">
        <v>7</v>
      </c>
      <c r="U566">
        <v>3</v>
      </c>
      <c r="V566" s="6">
        <v>315.43</v>
      </c>
      <c r="W566" s="6">
        <v>3367.48</v>
      </c>
      <c r="X566" t="s">
        <v>121</v>
      </c>
      <c r="Y566" s="7">
        <f t="shared" si="70"/>
        <v>2.4774774774774775E-2</v>
      </c>
      <c r="Z566" s="7">
        <f t="shared" si="71"/>
        <v>0.89639639639639634</v>
      </c>
      <c r="AA566">
        <f t="shared" si="72"/>
        <v>9</v>
      </c>
      <c r="AB566" s="8">
        <f t="shared" si="73"/>
        <v>6939.46</v>
      </c>
      <c r="AC566">
        <f t="shared" si="74"/>
        <v>52</v>
      </c>
      <c r="AD566" t="str">
        <f t="shared" si="75"/>
        <v>Medium</v>
      </c>
      <c r="AE566" t="str">
        <f t="shared" si="76"/>
        <v>Yes</v>
      </c>
    </row>
    <row r="567" spans="1:31" x14ac:dyDescent="0.35">
      <c r="A567" t="s">
        <v>680</v>
      </c>
      <c r="B567" s="5">
        <v>46286</v>
      </c>
      <c r="C567" t="s">
        <v>640</v>
      </c>
      <c r="D567" t="s">
        <v>25</v>
      </c>
      <c r="E567" t="s">
        <v>89</v>
      </c>
      <c r="F567" t="s">
        <v>30</v>
      </c>
      <c r="G567" t="s">
        <v>90</v>
      </c>
      <c r="H567" t="s">
        <v>34</v>
      </c>
      <c r="I567" t="s">
        <v>46</v>
      </c>
      <c r="J567">
        <v>1001</v>
      </c>
      <c r="K567">
        <v>899</v>
      </c>
      <c r="L567">
        <v>27</v>
      </c>
      <c r="M567">
        <v>15</v>
      </c>
      <c r="N567">
        <v>849</v>
      </c>
      <c r="O567">
        <v>29.1</v>
      </c>
      <c r="P567">
        <v>0</v>
      </c>
      <c r="Q567" t="s">
        <v>80</v>
      </c>
      <c r="R567" t="s">
        <v>81</v>
      </c>
      <c r="S567" t="s">
        <v>82</v>
      </c>
      <c r="T567">
        <v>8</v>
      </c>
      <c r="U567">
        <v>0</v>
      </c>
      <c r="V567" s="6">
        <v>137.86000000000001</v>
      </c>
      <c r="W567" s="6">
        <v>1963.44</v>
      </c>
      <c r="X567" t="s">
        <v>115</v>
      </c>
      <c r="Y567" s="7">
        <f t="shared" si="70"/>
        <v>3.0033370411568408E-2</v>
      </c>
      <c r="Z567" s="7">
        <f t="shared" si="71"/>
        <v>0.94438264738598443</v>
      </c>
      <c r="AA567">
        <f t="shared" si="72"/>
        <v>102</v>
      </c>
      <c r="AB567" s="8">
        <f t="shared" si="73"/>
        <v>3722.2200000000003</v>
      </c>
      <c r="AC567">
        <f t="shared" si="74"/>
        <v>32.5</v>
      </c>
      <c r="AD567" t="str">
        <f t="shared" si="75"/>
        <v>Low</v>
      </c>
      <c r="AE567" t="str">
        <f t="shared" si="76"/>
        <v>No</v>
      </c>
    </row>
    <row r="568" spans="1:31" x14ac:dyDescent="0.35">
      <c r="A568" t="s">
        <v>681</v>
      </c>
      <c r="B568" s="5">
        <v>46286</v>
      </c>
      <c r="C568" t="s">
        <v>640</v>
      </c>
      <c r="D568" t="s">
        <v>22</v>
      </c>
      <c r="E568" t="s">
        <v>93</v>
      </c>
      <c r="F568" t="s">
        <v>32</v>
      </c>
      <c r="G568" t="s">
        <v>85</v>
      </c>
      <c r="H568" t="s">
        <v>34</v>
      </c>
      <c r="I568" t="s">
        <v>46</v>
      </c>
      <c r="J568">
        <v>1033</v>
      </c>
      <c r="K568">
        <v>1019</v>
      </c>
      <c r="L568">
        <v>17</v>
      </c>
      <c r="M568">
        <v>11</v>
      </c>
      <c r="N568">
        <v>998</v>
      </c>
      <c r="O568">
        <v>48</v>
      </c>
      <c r="P568">
        <v>17.100000000000001</v>
      </c>
      <c r="Q568" t="s">
        <v>80</v>
      </c>
      <c r="R568" t="s">
        <v>81</v>
      </c>
      <c r="S568" t="s">
        <v>82</v>
      </c>
      <c r="T568">
        <v>4</v>
      </c>
      <c r="U568">
        <v>4</v>
      </c>
      <c r="V568" s="6">
        <v>115.38</v>
      </c>
      <c r="W568" s="6">
        <v>1011.34</v>
      </c>
      <c r="X568" t="s">
        <v>121</v>
      </c>
      <c r="Y568" s="7">
        <f t="shared" si="70"/>
        <v>1.6683022571148183E-2</v>
      </c>
      <c r="Z568" s="7">
        <f t="shared" si="71"/>
        <v>0.97939156035328756</v>
      </c>
      <c r="AA568">
        <f t="shared" si="72"/>
        <v>14</v>
      </c>
      <c r="AB568" s="8">
        <f t="shared" si="73"/>
        <v>1961.46</v>
      </c>
      <c r="AC568">
        <f t="shared" si="74"/>
        <v>39.799999999999997</v>
      </c>
      <c r="AD568" t="str">
        <f t="shared" si="75"/>
        <v>Low</v>
      </c>
      <c r="AE568" t="str">
        <f t="shared" si="76"/>
        <v>No</v>
      </c>
    </row>
    <row r="569" spans="1:31" x14ac:dyDescent="0.35">
      <c r="A569" t="s">
        <v>682</v>
      </c>
      <c r="B569" s="5">
        <v>46286</v>
      </c>
      <c r="C569" t="s">
        <v>640</v>
      </c>
      <c r="D569" t="s">
        <v>25</v>
      </c>
      <c r="E569" t="s">
        <v>89</v>
      </c>
      <c r="F569" t="s">
        <v>30</v>
      </c>
      <c r="G569" t="s">
        <v>90</v>
      </c>
      <c r="H569" t="s">
        <v>36</v>
      </c>
      <c r="I569" t="s">
        <v>45</v>
      </c>
      <c r="J569">
        <v>1061</v>
      </c>
      <c r="K569">
        <v>1041</v>
      </c>
      <c r="L569">
        <v>19</v>
      </c>
      <c r="M569">
        <v>12</v>
      </c>
      <c r="N569">
        <v>1031</v>
      </c>
      <c r="O569">
        <v>75.7</v>
      </c>
      <c r="P569">
        <v>7.3</v>
      </c>
      <c r="Q569" t="s">
        <v>80</v>
      </c>
      <c r="R569" t="s">
        <v>81</v>
      </c>
      <c r="S569" t="s">
        <v>82</v>
      </c>
      <c r="T569">
        <v>2</v>
      </c>
      <c r="U569">
        <v>1</v>
      </c>
      <c r="V569" s="6">
        <v>177.86</v>
      </c>
      <c r="W569" s="6">
        <v>2415.09</v>
      </c>
      <c r="X569" t="s">
        <v>94</v>
      </c>
      <c r="Y569" s="7">
        <f t="shared" si="70"/>
        <v>1.8251681075888569E-2</v>
      </c>
      <c r="Z569" s="7">
        <f t="shared" si="71"/>
        <v>0.99039385206532182</v>
      </c>
      <c r="AA569">
        <f t="shared" si="72"/>
        <v>20</v>
      </c>
      <c r="AB569" s="8">
        <f t="shared" si="73"/>
        <v>3379.34</v>
      </c>
      <c r="AC569">
        <f t="shared" si="74"/>
        <v>28.2</v>
      </c>
      <c r="AD569" t="str">
        <f t="shared" si="75"/>
        <v>Low</v>
      </c>
      <c r="AE569" t="str">
        <f t="shared" si="76"/>
        <v>No</v>
      </c>
    </row>
    <row r="570" spans="1:31" x14ac:dyDescent="0.35">
      <c r="A570" t="s">
        <v>683</v>
      </c>
      <c r="B570" s="5">
        <v>46286</v>
      </c>
      <c r="C570" t="s">
        <v>640</v>
      </c>
      <c r="D570" t="s">
        <v>24</v>
      </c>
      <c r="E570" t="s">
        <v>78</v>
      </c>
      <c r="F570" t="s">
        <v>29</v>
      </c>
      <c r="G570" t="s">
        <v>85</v>
      </c>
      <c r="H570" t="s">
        <v>36</v>
      </c>
      <c r="I570" t="s">
        <v>48</v>
      </c>
      <c r="J570">
        <v>1054</v>
      </c>
      <c r="K570">
        <v>1048</v>
      </c>
      <c r="L570">
        <v>34</v>
      </c>
      <c r="M570">
        <v>23</v>
      </c>
      <c r="N570">
        <v>929</v>
      </c>
      <c r="O570">
        <v>64.599999999999994</v>
      </c>
      <c r="P570">
        <v>12.4</v>
      </c>
      <c r="Q570" t="s">
        <v>80</v>
      </c>
      <c r="R570" t="s">
        <v>81</v>
      </c>
      <c r="S570" t="s">
        <v>100</v>
      </c>
      <c r="T570">
        <v>0</v>
      </c>
      <c r="U570">
        <v>5</v>
      </c>
      <c r="V570" s="6">
        <v>329.63</v>
      </c>
      <c r="W570" s="6">
        <v>3141.6</v>
      </c>
      <c r="X570" t="s">
        <v>94</v>
      </c>
      <c r="Y570" s="7">
        <f t="shared" si="70"/>
        <v>3.2442748091603052E-2</v>
      </c>
      <c r="Z570" s="7">
        <f t="shared" si="71"/>
        <v>0.88645038167938928</v>
      </c>
      <c r="AA570">
        <f t="shared" si="72"/>
        <v>6</v>
      </c>
      <c r="AB570" s="8">
        <f t="shared" si="73"/>
        <v>11207.42</v>
      </c>
      <c r="AC570">
        <f t="shared" si="74"/>
        <v>53.7</v>
      </c>
      <c r="AD570" t="str">
        <f t="shared" si="75"/>
        <v>Medium</v>
      </c>
      <c r="AE570" t="str">
        <f t="shared" si="76"/>
        <v>No</v>
      </c>
    </row>
    <row r="571" spans="1:31" x14ac:dyDescent="0.35">
      <c r="A571" t="s">
        <v>684</v>
      </c>
      <c r="B571" s="5">
        <v>46286</v>
      </c>
      <c r="C571" t="s">
        <v>640</v>
      </c>
      <c r="D571" t="s">
        <v>25</v>
      </c>
      <c r="E571" t="s">
        <v>89</v>
      </c>
      <c r="F571" t="s">
        <v>27</v>
      </c>
      <c r="G571" t="s">
        <v>85</v>
      </c>
      <c r="H571" t="s">
        <v>37</v>
      </c>
      <c r="I571" t="s">
        <v>46</v>
      </c>
      <c r="J571">
        <v>876</v>
      </c>
      <c r="K571">
        <v>832</v>
      </c>
      <c r="L571">
        <v>26</v>
      </c>
      <c r="M571">
        <v>9</v>
      </c>
      <c r="N571">
        <v>765</v>
      </c>
      <c r="O571">
        <v>54.6</v>
      </c>
      <c r="P571">
        <v>12.8</v>
      </c>
      <c r="Q571" t="s">
        <v>80</v>
      </c>
      <c r="R571" t="s">
        <v>81</v>
      </c>
      <c r="S571" t="s">
        <v>82</v>
      </c>
      <c r="T571">
        <v>10</v>
      </c>
      <c r="U571">
        <v>1</v>
      </c>
      <c r="V571" s="6">
        <v>103.58</v>
      </c>
      <c r="W571" s="6">
        <v>1792.11</v>
      </c>
      <c r="X571" t="s">
        <v>83</v>
      </c>
      <c r="Y571" s="7">
        <f t="shared" si="70"/>
        <v>3.125E-2</v>
      </c>
      <c r="Z571" s="7">
        <f t="shared" si="71"/>
        <v>0.91947115384615385</v>
      </c>
      <c r="AA571">
        <f t="shared" si="72"/>
        <v>44</v>
      </c>
      <c r="AB571" s="8">
        <f t="shared" si="73"/>
        <v>2693.08</v>
      </c>
      <c r="AC571">
        <f t="shared" si="74"/>
        <v>51.5</v>
      </c>
      <c r="AD571" t="str">
        <f t="shared" si="75"/>
        <v>Medium</v>
      </c>
      <c r="AE571" t="str">
        <f t="shared" si="76"/>
        <v>No</v>
      </c>
    </row>
    <row r="572" spans="1:31" x14ac:dyDescent="0.35">
      <c r="A572" t="s">
        <v>685</v>
      </c>
      <c r="B572" s="5">
        <v>46293</v>
      </c>
      <c r="C572" t="s">
        <v>640</v>
      </c>
      <c r="D572" t="s">
        <v>23</v>
      </c>
      <c r="E572" t="s">
        <v>78</v>
      </c>
      <c r="F572" t="s">
        <v>27</v>
      </c>
      <c r="G572" t="s">
        <v>79</v>
      </c>
      <c r="H572" t="s">
        <v>36</v>
      </c>
      <c r="I572" t="s">
        <v>46</v>
      </c>
      <c r="J572">
        <v>931</v>
      </c>
      <c r="K572">
        <v>809</v>
      </c>
      <c r="L572">
        <v>5</v>
      </c>
      <c r="M572">
        <v>2</v>
      </c>
      <c r="N572">
        <v>728</v>
      </c>
      <c r="O572">
        <v>63.6</v>
      </c>
      <c r="P572">
        <v>5.3</v>
      </c>
      <c r="Q572" t="s">
        <v>80</v>
      </c>
      <c r="R572" t="s">
        <v>81</v>
      </c>
      <c r="S572" t="s">
        <v>82</v>
      </c>
      <c r="T572">
        <v>0</v>
      </c>
      <c r="U572">
        <v>0</v>
      </c>
      <c r="V572" s="6">
        <v>304.2</v>
      </c>
      <c r="W572" s="6">
        <v>714.07</v>
      </c>
      <c r="X572" t="s">
        <v>91</v>
      </c>
      <c r="Y572" s="7">
        <f t="shared" si="70"/>
        <v>6.180469715698393E-3</v>
      </c>
      <c r="Z572" s="7">
        <f t="shared" si="71"/>
        <v>0.89987639060568603</v>
      </c>
      <c r="AA572">
        <f t="shared" si="72"/>
        <v>122</v>
      </c>
      <c r="AB572" s="8">
        <f t="shared" si="73"/>
        <v>1521</v>
      </c>
      <c r="AC572">
        <f t="shared" si="74"/>
        <v>17.600000000000001</v>
      </c>
      <c r="AD572" t="str">
        <f t="shared" si="75"/>
        <v>Low</v>
      </c>
      <c r="AE572" t="str">
        <f t="shared" si="76"/>
        <v>No</v>
      </c>
    </row>
    <row r="573" spans="1:31" x14ac:dyDescent="0.35">
      <c r="A573" t="s">
        <v>686</v>
      </c>
      <c r="B573" s="5">
        <v>46293</v>
      </c>
      <c r="C573" t="s">
        <v>640</v>
      </c>
      <c r="D573" t="s">
        <v>22</v>
      </c>
      <c r="E573" t="s">
        <v>93</v>
      </c>
      <c r="F573" t="s">
        <v>29</v>
      </c>
      <c r="G573" t="s">
        <v>85</v>
      </c>
      <c r="H573" t="s">
        <v>37</v>
      </c>
      <c r="I573" t="s">
        <v>46</v>
      </c>
      <c r="J573">
        <v>781</v>
      </c>
      <c r="K573">
        <v>759</v>
      </c>
      <c r="L573">
        <v>3</v>
      </c>
      <c r="M573">
        <v>2</v>
      </c>
      <c r="N573">
        <v>706</v>
      </c>
      <c r="O573">
        <v>34.299999999999997</v>
      </c>
      <c r="P573">
        <v>6.4</v>
      </c>
      <c r="Q573" t="s">
        <v>80</v>
      </c>
      <c r="R573" t="s">
        <v>81</v>
      </c>
      <c r="S573" t="s">
        <v>82</v>
      </c>
      <c r="T573">
        <v>0</v>
      </c>
      <c r="U573">
        <v>3</v>
      </c>
      <c r="V573" s="6">
        <v>287.37</v>
      </c>
      <c r="W573" s="6">
        <v>306.61</v>
      </c>
      <c r="X573" t="s">
        <v>83</v>
      </c>
      <c r="Y573" s="7">
        <f t="shared" si="70"/>
        <v>3.952569169960474E-3</v>
      </c>
      <c r="Z573" s="7">
        <f t="shared" si="71"/>
        <v>0.93017127799736499</v>
      </c>
      <c r="AA573">
        <f t="shared" si="72"/>
        <v>22</v>
      </c>
      <c r="AB573" s="8">
        <f t="shared" si="73"/>
        <v>862.11</v>
      </c>
      <c r="AC573">
        <f t="shared" si="74"/>
        <v>15.4</v>
      </c>
      <c r="AD573" t="str">
        <f t="shared" si="75"/>
        <v>Low</v>
      </c>
      <c r="AE573" t="str">
        <f t="shared" si="76"/>
        <v>No</v>
      </c>
    </row>
    <row r="574" spans="1:31" x14ac:dyDescent="0.35">
      <c r="A574" t="s">
        <v>687</v>
      </c>
      <c r="B574" s="5">
        <v>46293</v>
      </c>
      <c r="C574" t="s">
        <v>640</v>
      </c>
      <c r="D574" t="s">
        <v>24</v>
      </c>
      <c r="E574" t="s">
        <v>78</v>
      </c>
      <c r="F574" t="s">
        <v>32</v>
      </c>
      <c r="G574" t="s">
        <v>90</v>
      </c>
      <c r="H574" t="s">
        <v>36</v>
      </c>
      <c r="I574" t="s">
        <v>46</v>
      </c>
      <c r="J574">
        <v>1057</v>
      </c>
      <c r="K574">
        <v>1020</v>
      </c>
      <c r="L574">
        <v>22</v>
      </c>
      <c r="M574">
        <v>17</v>
      </c>
      <c r="N574">
        <v>961</v>
      </c>
      <c r="O574">
        <v>53.3</v>
      </c>
      <c r="P574">
        <v>19</v>
      </c>
      <c r="Q574" t="s">
        <v>80</v>
      </c>
      <c r="R574" t="s">
        <v>81</v>
      </c>
      <c r="S574" t="s">
        <v>82</v>
      </c>
      <c r="T574">
        <v>3</v>
      </c>
      <c r="U574">
        <v>2</v>
      </c>
      <c r="V574" s="6">
        <v>131.69999999999999</v>
      </c>
      <c r="W574" s="6">
        <v>751.15</v>
      </c>
      <c r="X574" t="s">
        <v>91</v>
      </c>
      <c r="Y574" s="7">
        <f t="shared" si="70"/>
        <v>2.1568627450980392E-2</v>
      </c>
      <c r="Z574" s="7">
        <f t="shared" si="71"/>
        <v>0.94215686274509802</v>
      </c>
      <c r="AA574">
        <f t="shared" si="72"/>
        <v>37</v>
      </c>
      <c r="AB574" s="8">
        <f t="shared" si="73"/>
        <v>2897.3999999999996</v>
      </c>
      <c r="AC574">
        <f t="shared" si="74"/>
        <v>48.9</v>
      </c>
      <c r="AD574" t="str">
        <f t="shared" si="75"/>
        <v>Medium</v>
      </c>
      <c r="AE574" t="str">
        <f t="shared" si="76"/>
        <v>No</v>
      </c>
    </row>
    <row r="575" spans="1:31" x14ac:dyDescent="0.35">
      <c r="A575" t="s">
        <v>351</v>
      </c>
      <c r="B575" s="5">
        <v>46139</v>
      </c>
      <c r="C575" t="s">
        <v>301</v>
      </c>
      <c r="D575" t="s">
        <v>20</v>
      </c>
      <c r="E575" t="s">
        <v>78</v>
      </c>
      <c r="F575" t="s">
        <v>27</v>
      </c>
      <c r="G575" t="s">
        <v>90</v>
      </c>
      <c r="H575" t="s">
        <v>37</v>
      </c>
      <c r="I575" t="s">
        <v>48</v>
      </c>
      <c r="J575">
        <v>1055</v>
      </c>
      <c r="K575">
        <v>957</v>
      </c>
      <c r="L575">
        <v>36</v>
      </c>
      <c r="M575">
        <v>25</v>
      </c>
      <c r="N575">
        <v>912</v>
      </c>
      <c r="O575">
        <v>25.7</v>
      </c>
      <c r="P575">
        <v>0</v>
      </c>
      <c r="Q575" t="s">
        <v>96</v>
      </c>
      <c r="R575" t="s">
        <v>81</v>
      </c>
      <c r="S575" t="s">
        <v>82</v>
      </c>
      <c r="T575">
        <v>4</v>
      </c>
      <c r="U575">
        <v>4</v>
      </c>
      <c r="V575" s="6">
        <v>45.98</v>
      </c>
      <c r="W575" s="6">
        <v>846.05</v>
      </c>
      <c r="X575" t="s">
        <v>94</v>
      </c>
      <c r="Y575" s="7">
        <f>IFERROR(L245/K245,0)</f>
        <v>3.7617554858934171E-2</v>
      </c>
      <c r="Z575" s="7">
        <f>IFERROR(N245/K245,0)</f>
        <v>0.95297805642633227</v>
      </c>
      <c r="AA575">
        <f>J245-K245</f>
        <v>98</v>
      </c>
      <c r="AB575" s="8">
        <f>L245*V245</f>
        <v>1655.28</v>
      </c>
      <c r="AC575">
        <f>ROUND(MIN(100,(Y245*1000)+(1-Z245)*45+(P245*1.3)+IF(Q245="Late",18,IF(Q245="Pending",10,0))+IF(R245="Yes",20,0)+IF(S245="Decision Required",12,0)),1)</f>
        <v>49.7</v>
      </c>
      <c r="AD575" t="str">
        <f>IF(AC245&gt;=65,"High",IF(AC245&gt;=40,"Medium","Low"))</f>
        <v>Medium</v>
      </c>
      <c r="AE575" t="str">
        <f>IF(OR(AD245="High",Q245="Late",R245="Yes",S245="Decision Required"),"Yes","No")</f>
        <v>No</v>
      </c>
    </row>
    <row r="576" spans="1:31" x14ac:dyDescent="0.35">
      <c r="A576" t="s">
        <v>688</v>
      </c>
      <c r="B576" s="5">
        <v>46293</v>
      </c>
      <c r="C576" t="s">
        <v>640</v>
      </c>
      <c r="D576" t="s">
        <v>22</v>
      </c>
      <c r="E576" t="s">
        <v>93</v>
      </c>
      <c r="F576" t="s">
        <v>29</v>
      </c>
      <c r="G576" t="s">
        <v>90</v>
      </c>
      <c r="H576" t="s">
        <v>39</v>
      </c>
      <c r="I576" t="s">
        <v>42</v>
      </c>
      <c r="J576">
        <v>1204</v>
      </c>
      <c r="K576">
        <v>1123</v>
      </c>
      <c r="L576">
        <v>30</v>
      </c>
      <c r="M576">
        <v>17</v>
      </c>
      <c r="N576">
        <v>993</v>
      </c>
      <c r="O576">
        <v>62.6</v>
      </c>
      <c r="P576">
        <v>0</v>
      </c>
      <c r="Q576" t="s">
        <v>86</v>
      </c>
      <c r="R576" t="s">
        <v>99</v>
      </c>
      <c r="S576" t="s">
        <v>82</v>
      </c>
      <c r="T576">
        <v>7</v>
      </c>
      <c r="U576">
        <v>1</v>
      </c>
      <c r="V576" s="6">
        <v>291.24</v>
      </c>
      <c r="W576" s="6">
        <v>6613.16</v>
      </c>
      <c r="X576" t="s">
        <v>94</v>
      </c>
      <c r="Y576" s="7">
        <f t="shared" ref="Y576:Y601" si="77">IFERROR(L576/K576,0)</f>
        <v>2.6714158504007122E-2</v>
      </c>
      <c r="Z576" s="7">
        <f t="shared" ref="Z576:Z601" si="78">IFERROR(N576/K576,0)</f>
        <v>0.88423864648263584</v>
      </c>
      <c r="AA576">
        <f t="shared" ref="AA576:AA601" si="79">J576-K576</f>
        <v>81</v>
      </c>
      <c r="AB576" s="8">
        <f t="shared" ref="AB576:AB601" si="80">L576*V576</f>
        <v>8737.2000000000007</v>
      </c>
      <c r="AC576">
        <f t="shared" ref="AC576:AC601" si="81">ROUND(MIN(100,(Y576*1000)+(1-Z576)*45+(P576*1.3)+IF(Q576="Late",18,IF(Q576="Pending",10,0))+IF(R576="Yes",20,0)+IF(S576="Decision Required",12,0)),1)</f>
        <v>69.900000000000006</v>
      </c>
      <c r="AD576" t="str">
        <f t="shared" ref="AD576:AD601" si="82">IF(AC576&gt;=65,"High",IF(AC576&gt;=40,"Medium","Low"))</f>
        <v>High</v>
      </c>
      <c r="AE576" t="str">
        <f t="shared" ref="AE576:AE601" si="83">IF(OR(AD576="High",Q576="Late",R576="Yes",S576="Decision Required"),"Yes","No")</f>
        <v>Yes</v>
      </c>
    </row>
    <row r="577" spans="1:31" x14ac:dyDescent="0.35">
      <c r="A577" t="s">
        <v>689</v>
      </c>
      <c r="B577" s="5">
        <v>46293</v>
      </c>
      <c r="C577" t="s">
        <v>640</v>
      </c>
      <c r="D577" t="s">
        <v>24</v>
      </c>
      <c r="E577" t="s">
        <v>78</v>
      </c>
      <c r="F577" t="s">
        <v>31</v>
      </c>
      <c r="G577" t="s">
        <v>79</v>
      </c>
      <c r="H577" t="s">
        <v>39</v>
      </c>
      <c r="I577" t="s">
        <v>48</v>
      </c>
      <c r="J577">
        <v>1307</v>
      </c>
      <c r="K577">
        <v>1257</v>
      </c>
      <c r="L577">
        <v>38</v>
      </c>
      <c r="M577">
        <v>20</v>
      </c>
      <c r="N577">
        <v>1236</v>
      </c>
      <c r="O577">
        <v>27.5</v>
      </c>
      <c r="P577">
        <v>0</v>
      </c>
      <c r="Q577" t="s">
        <v>80</v>
      </c>
      <c r="R577" t="s">
        <v>81</v>
      </c>
      <c r="S577" t="s">
        <v>82</v>
      </c>
      <c r="T577">
        <v>3</v>
      </c>
      <c r="U577">
        <v>3</v>
      </c>
      <c r="V577" s="6">
        <v>198.36</v>
      </c>
      <c r="W577" s="6">
        <v>5166.5200000000004</v>
      </c>
      <c r="X577" t="s">
        <v>110</v>
      </c>
      <c r="Y577" s="7">
        <f t="shared" si="77"/>
        <v>3.0230708035003977E-2</v>
      </c>
      <c r="Z577" s="7">
        <f t="shared" si="78"/>
        <v>0.98329355608591884</v>
      </c>
      <c r="AA577">
        <f t="shared" si="79"/>
        <v>50</v>
      </c>
      <c r="AB577" s="8">
        <f t="shared" si="80"/>
        <v>7537.68</v>
      </c>
      <c r="AC577">
        <f t="shared" si="81"/>
        <v>31</v>
      </c>
      <c r="AD577" t="str">
        <f t="shared" si="82"/>
        <v>Low</v>
      </c>
      <c r="AE577" t="str">
        <f t="shared" si="83"/>
        <v>No</v>
      </c>
    </row>
    <row r="578" spans="1:31" x14ac:dyDescent="0.35">
      <c r="A578" t="s">
        <v>690</v>
      </c>
      <c r="B578" s="5">
        <v>46293</v>
      </c>
      <c r="C578" t="s">
        <v>640</v>
      </c>
      <c r="D578" t="s">
        <v>20</v>
      </c>
      <c r="E578" t="s">
        <v>78</v>
      </c>
      <c r="F578" t="s">
        <v>32</v>
      </c>
      <c r="G578" t="s">
        <v>79</v>
      </c>
      <c r="H578" t="s">
        <v>34</v>
      </c>
      <c r="I578" t="s">
        <v>42</v>
      </c>
      <c r="J578">
        <v>1162</v>
      </c>
      <c r="K578">
        <v>1093</v>
      </c>
      <c r="L578">
        <v>10</v>
      </c>
      <c r="M578">
        <v>3</v>
      </c>
      <c r="N578">
        <v>1047</v>
      </c>
      <c r="O578">
        <v>23</v>
      </c>
      <c r="P578">
        <v>7</v>
      </c>
      <c r="Q578" t="s">
        <v>80</v>
      </c>
      <c r="R578" t="s">
        <v>99</v>
      </c>
      <c r="S578" t="s">
        <v>138</v>
      </c>
      <c r="T578">
        <v>3</v>
      </c>
      <c r="U578">
        <v>3</v>
      </c>
      <c r="V578" s="6">
        <v>221.7</v>
      </c>
      <c r="W578" s="6">
        <v>1010.83</v>
      </c>
      <c r="X578" t="s">
        <v>94</v>
      </c>
      <c r="Y578" s="7">
        <f t="shared" si="77"/>
        <v>9.1491308325709064E-3</v>
      </c>
      <c r="Z578" s="7">
        <f t="shared" si="78"/>
        <v>0.95791399817017386</v>
      </c>
      <c r="AA578">
        <f t="shared" si="79"/>
        <v>69</v>
      </c>
      <c r="AB578" s="8">
        <f t="shared" si="80"/>
        <v>2217</v>
      </c>
      <c r="AC578">
        <f t="shared" si="81"/>
        <v>52.1</v>
      </c>
      <c r="AD578" t="str">
        <f t="shared" si="82"/>
        <v>Medium</v>
      </c>
      <c r="AE578" t="str">
        <f t="shared" si="83"/>
        <v>Yes</v>
      </c>
    </row>
    <row r="579" spans="1:31" x14ac:dyDescent="0.35">
      <c r="A579" t="s">
        <v>691</v>
      </c>
      <c r="B579" s="5">
        <v>46293</v>
      </c>
      <c r="C579" t="s">
        <v>640</v>
      </c>
      <c r="D579" t="s">
        <v>24</v>
      </c>
      <c r="E579" t="s">
        <v>78</v>
      </c>
      <c r="F579" t="s">
        <v>30</v>
      </c>
      <c r="G579" t="s">
        <v>85</v>
      </c>
      <c r="H579" t="s">
        <v>40</v>
      </c>
      <c r="I579" t="s">
        <v>47</v>
      </c>
      <c r="J579">
        <v>896</v>
      </c>
      <c r="K579">
        <v>838</v>
      </c>
      <c r="L579">
        <v>10</v>
      </c>
      <c r="M579">
        <v>7</v>
      </c>
      <c r="N579">
        <v>838</v>
      </c>
      <c r="O579">
        <v>68.099999999999994</v>
      </c>
      <c r="P579">
        <v>1</v>
      </c>
      <c r="Q579" t="s">
        <v>80</v>
      </c>
      <c r="R579" t="s">
        <v>81</v>
      </c>
      <c r="S579" t="s">
        <v>82</v>
      </c>
      <c r="T579">
        <v>1</v>
      </c>
      <c r="U579">
        <v>1</v>
      </c>
      <c r="V579" s="6">
        <v>204.37</v>
      </c>
      <c r="W579" s="6">
        <v>1222.3900000000001</v>
      </c>
      <c r="X579" t="s">
        <v>94</v>
      </c>
      <c r="Y579" s="7">
        <f t="shared" si="77"/>
        <v>1.1933174224343675E-2</v>
      </c>
      <c r="Z579" s="7">
        <f t="shared" si="78"/>
        <v>1</v>
      </c>
      <c r="AA579">
        <f t="shared" si="79"/>
        <v>58</v>
      </c>
      <c r="AB579" s="8">
        <f t="shared" si="80"/>
        <v>2043.7</v>
      </c>
      <c r="AC579">
        <f t="shared" si="81"/>
        <v>13.2</v>
      </c>
      <c r="AD579" t="str">
        <f t="shared" si="82"/>
        <v>Low</v>
      </c>
      <c r="AE579" t="str">
        <f t="shared" si="83"/>
        <v>No</v>
      </c>
    </row>
    <row r="580" spans="1:31" x14ac:dyDescent="0.35">
      <c r="A580" t="s">
        <v>692</v>
      </c>
      <c r="B580" s="5">
        <v>46293</v>
      </c>
      <c r="C580" t="s">
        <v>640</v>
      </c>
      <c r="D580" t="s">
        <v>23</v>
      </c>
      <c r="E580" t="s">
        <v>78</v>
      </c>
      <c r="F580" t="s">
        <v>32</v>
      </c>
      <c r="G580" t="s">
        <v>90</v>
      </c>
      <c r="H580" t="s">
        <v>36</v>
      </c>
      <c r="I580" t="s">
        <v>46</v>
      </c>
      <c r="J580">
        <v>1086</v>
      </c>
      <c r="K580">
        <v>973</v>
      </c>
      <c r="L580">
        <v>21</v>
      </c>
      <c r="M580">
        <v>11</v>
      </c>
      <c r="N580">
        <v>934</v>
      </c>
      <c r="O580">
        <v>27.5</v>
      </c>
      <c r="P580">
        <v>7.7</v>
      </c>
      <c r="Q580" t="s">
        <v>80</v>
      </c>
      <c r="R580" t="s">
        <v>81</v>
      </c>
      <c r="S580" t="s">
        <v>100</v>
      </c>
      <c r="T580">
        <v>6</v>
      </c>
      <c r="U580">
        <v>4</v>
      </c>
      <c r="V580" s="6">
        <v>89.7</v>
      </c>
      <c r="W580" s="6">
        <v>1401.18</v>
      </c>
      <c r="X580" t="s">
        <v>110</v>
      </c>
      <c r="Y580" s="7">
        <f t="shared" si="77"/>
        <v>2.1582733812949641E-2</v>
      </c>
      <c r="Z580" s="7">
        <f t="shared" si="78"/>
        <v>0.95991778006166495</v>
      </c>
      <c r="AA580">
        <f t="shared" si="79"/>
        <v>113</v>
      </c>
      <c r="AB580" s="8">
        <f t="shared" si="80"/>
        <v>1883.7</v>
      </c>
      <c r="AC580">
        <f t="shared" si="81"/>
        <v>33.4</v>
      </c>
      <c r="AD580" t="str">
        <f t="shared" si="82"/>
        <v>Low</v>
      </c>
      <c r="AE580" t="str">
        <f t="shared" si="83"/>
        <v>No</v>
      </c>
    </row>
    <row r="581" spans="1:31" x14ac:dyDescent="0.35">
      <c r="A581" t="s">
        <v>693</v>
      </c>
      <c r="B581" s="5">
        <v>46293</v>
      </c>
      <c r="C581" t="s">
        <v>640</v>
      </c>
      <c r="D581" t="s">
        <v>20</v>
      </c>
      <c r="E581" t="s">
        <v>78</v>
      </c>
      <c r="F581" t="s">
        <v>31</v>
      </c>
      <c r="G581" t="s">
        <v>85</v>
      </c>
      <c r="H581" t="s">
        <v>37</v>
      </c>
      <c r="I581" t="s">
        <v>45</v>
      </c>
      <c r="J581">
        <v>1340</v>
      </c>
      <c r="K581">
        <v>1343</v>
      </c>
      <c r="L581">
        <v>45</v>
      </c>
      <c r="M581">
        <v>22</v>
      </c>
      <c r="N581">
        <v>1340</v>
      </c>
      <c r="O581">
        <v>66.8</v>
      </c>
      <c r="P581">
        <v>15.2</v>
      </c>
      <c r="Q581" t="s">
        <v>80</v>
      </c>
      <c r="R581" t="s">
        <v>81</v>
      </c>
      <c r="S581" t="s">
        <v>82</v>
      </c>
      <c r="T581">
        <v>6</v>
      </c>
      <c r="U581">
        <v>5</v>
      </c>
      <c r="V581" s="6">
        <v>421.18</v>
      </c>
      <c r="W581" s="6">
        <v>11767.43</v>
      </c>
      <c r="X581" t="s">
        <v>115</v>
      </c>
      <c r="Y581" s="7">
        <f t="shared" si="77"/>
        <v>3.3507073715562177E-2</v>
      </c>
      <c r="Z581" s="7">
        <f t="shared" si="78"/>
        <v>0.99776619508562914</v>
      </c>
      <c r="AA581">
        <f t="shared" si="79"/>
        <v>-3</v>
      </c>
      <c r="AB581" s="8">
        <f t="shared" si="80"/>
        <v>18953.099999999999</v>
      </c>
      <c r="AC581">
        <f t="shared" si="81"/>
        <v>53.4</v>
      </c>
      <c r="AD581" t="str">
        <f t="shared" si="82"/>
        <v>Medium</v>
      </c>
      <c r="AE581" t="str">
        <f t="shared" si="83"/>
        <v>No</v>
      </c>
    </row>
    <row r="582" spans="1:31" x14ac:dyDescent="0.35">
      <c r="A582" t="s">
        <v>694</v>
      </c>
      <c r="B582" s="5">
        <v>46293</v>
      </c>
      <c r="C582" t="s">
        <v>640</v>
      </c>
      <c r="D582" t="s">
        <v>24</v>
      </c>
      <c r="E582" t="s">
        <v>78</v>
      </c>
      <c r="F582" t="s">
        <v>31</v>
      </c>
      <c r="G582" t="s">
        <v>85</v>
      </c>
      <c r="H582" t="s">
        <v>38</v>
      </c>
      <c r="I582" t="s">
        <v>45</v>
      </c>
      <c r="J582">
        <v>812</v>
      </c>
      <c r="K582">
        <v>815</v>
      </c>
      <c r="L582">
        <v>29</v>
      </c>
      <c r="M582">
        <v>17</v>
      </c>
      <c r="N582">
        <v>738</v>
      </c>
      <c r="O582">
        <v>66.7</v>
      </c>
      <c r="P582">
        <v>0.8</v>
      </c>
      <c r="Q582" t="s">
        <v>80</v>
      </c>
      <c r="R582" t="s">
        <v>81</v>
      </c>
      <c r="S582" t="s">
        <v>82</v>
      </c>
      <c r="T582">
        <v>5</v>
      </c>
      <c r="U582">
        <v>0</v>
      </c>
      <c r="V582" s="6">
        <v>324.51</v>
      </c>
      <c r="W582" s="6">
        <v>4531.7</v>
      </c>
      <c r="X582" t="s">
        <v>87</v>
      </c>
      <c r="Y582" s="7">
        <f t="shared" si="77"/>
        <v>3.5582822085889573E-2</v>
      </c>
      <c r="Z582" s="7">
        <f t="shared" si="78"/>
        <v>0.90552147239263803</v>
      </c>
      <c r="AA582">
        <f t="shared" si="79"/>
        <v>-3</v>
      </c>
      <c r="AB582" s="8">
        <f t="shared" si="80"/>
        <v>9410.7899999999991</v>
      </c>
      <c r="AC582">
        <f t="shared" si="81"/>
        <v>40.9</v>
      </c>
      <c r="AD582" t="str">
        <f t="shared" si="82"/>
        <v>Medium</v>
      </c>
      <c r="AE582" t="str">
        <f t="shared" si="83"/>
        <v>No</v>
      </c>
    </row>
    <row r="583" spans="1:31" x14ac:dyDescent="0.35">
      <c r="A583" t="s">
        <v>695</v>
      </c>
      <c r="B583" s="5">
        <v>46293</v>
      </c>
      <c r="C583" t="s">
        <v>640</v>
      </c>
      <c r="D583" t="s">
        <v>22</v>
      </c>
      <c r="E583" t="s">
        <v>93</v>
      </c>
      <c r="F583" t="s">
        <v>31</v>
      </c>
      <c r="G583" t="s">
        <v>85</v>
      </c>
      <c r="H583" t="s">
        <v>38</v>
      </c>
      <c r="I583" t="s">
        <v>47</v>
      </c>
      <c r="J583">
        <v>805</v>
      </c>
      <c r="K583">
        <v>708</v>
      </c>
      <c r="L583">
        <v>8</v>
      </c>
      <c r="M583">
        <v>4</v>
      </c>
      <c r="N583">
        <v>654</v>
      </c>
      <c r="O583">
        <v>26.7</v>
      </c>
      <c r="P583">
        <v>12.6</v>
      </c>
      <c r="Q583" t="s">
        <v>96</v>
      </c>
      <c r="R583" t="s">
        <v>81</v>
      </c>
      <c r="S583" t="s">
        <v>82</v>
      </c>
      <c r="T583">
        <v>2</v>
      </c>
      <c r="U583">
        <v>0</v>
      </c>
      <c r="V583" s="6">
        <v>250.68</v>
      </c>
      <c r="W583" s="6">
        <v>699.87</v>
      </c>
      <c r="X583" t="s">
        <v>115</v>
      </c>
      <c r="Y583" s="7">
        <f t="shared" si="77"/>
        <v>1.1299435028248588E-2</v>
      </c>
      <c r="Z583" s="7">
        <f t="shared" si="78"/>
        <v>0.92372881355932202</v>
      </c>
      <c r="AA583">
        <f t="shared" si="79"/>
        <v>97</v>
      </c>
      <c r="AB583" s="8">
        <f t="shared" si="80"/>
        <v>2005.44</v>
      </c>
      <c r="AC583">
        <f t="shared" si="81"/>
        <v>41.1</v>
      </c>
      <c r="AD583" t="str">
        <f t="shared" si="82"/>
        <v>Medium</v>
      </c>
      <c r="AE583" t="str">
        <f t="shared" si="83"/>
        <v>No</v>
      </c>
    </row>
    <row r="584" spans="1:31" x14ac:dyDescent="0.35">
      <c r="A584" t="s">
        <v>696</v>
      </c>
      <c r="B584" s="5">
        <v>46293</v>
      </c>
      <c r="C584" t="s">
        <v>640</v>
      </c>
      <c r="D584" t="s">
        <v>22</v>
      </c>
      <c r="E584" t="s">
        <v>93</v>
      </c>
      <c r="F584" t="s">
        <v>30</v>
      </c>
      <c r="G584" t="s">
        <v>85</v>
      </c>
      <c r="H584" t="s">
        <v>37</v>
      </c>
      <c r="I584" t="s">
        <v>46</v>
      </c>
      <c r="J584">
        <v>948</v>
      </c>
      <c r="K584">
        <v>921</v>
      </c>
      <c r="L584">
        <v>18</v>
      </c>
      <c r="M584">
        <v>10</v>
      </c>
      <c r="N584">
        <v>859</v>
      </c>
      <c r="O584">
        <v>56.8</v>
      </c>
      <c r="P584">
        <v>7</v>
      </c>
      <c r="Q584" t="s">
        <v>80</v>
      </c>
      <c r="R584" t="s">
        <v>81</v>
      </c>
      <c r="S584" t="s">
        <v>82</v>
      </c>
      <c r="T584">
        <v>0</v>
      </c>
      <c r="U584">
        <v>2</v>
      </c>
      <c r="V584" s="6">
        <v>441.67</v>
      </c>
      <c r="W584" s="6">
        <v>6200.15</v>
      </c>
      <c r="X584" t="s">
        <v>115</v>
      </c>
      <c r="Y584" s="7">
        <f t="shared" si="77"/>
        <v>1.9543973941368076E-2</v>
      </c>
      <c r="Z584" s="7">
        <f t="shared" si="78"/>
        <v>0.9326818675352877</v>
      </c>
      <c r="AA584">
        <f t="shared" si="79"/>
        <v>27</v>
      </c>
      <c r="AB584" s="8">
        <f t="shared" si="80"/>
        <v>7950.06</v>
      </c>
      <c r="AC584">
        <f t="shared" si="81"/>
        <v>31.7</v>
      </c>
      <c r="AD584" t="str">
        <f t="shared" si="82"/>
        <v>Low</v>
      </c>
      <c r="AE584" t="str">
        <f t="shared" si="83"/>
        <v>No</v>
      </c>
    </row>
    <row r="585" spans="1:31" x14ac:dyDescent="0.35">
      <c r="A585" t="s">
        <v>697</v>
      </c>
      <c r="B585" s="5">
        <v>46293</v>
      </c>
      <c r="C585" t="s">
        <v>640</v>
      </c>
      <c r="D585" t="s">
        <v>23</v>
      </c>
      <c r="E585" t="s">
        <v>78</v>
      </c>
      <c r="F585" t="s">
        <v>30</v>
      </c>
      <c r="G585" t="s">
        <v>90</v>
      </c>
      <c r="H585" t="s">
        <v>39</v>
      </c>
      <c r="I585" t="s">
        <v>46</v>
      </c>
      <c r="J585">
        <v>1419</v>
      </c>
      <c r="K585">
        <v>1276</v>
      </c>
      <c r="L585">
        <v>15</v>
      </c>
      <c r="M585">
        <v>8</v>
      </c>
      <c r="N585">
        <v>1222</v>
      </c>
      <c r="O585">
        <v>54.3</v>
      </c>
      <c r="P585">
        <v>9.6</v>
      </c>
      <c r="Q585" t="s">
        <v>80</v>
      </c>
      <c r="R585" t="s">
        <v>81</v>
      </c>
      <c r="S585" t="s">
        <v>82</v>
      </c>
      <c r="T585">
        <v>3</v>
      </c>
      <c r="U585">
        <v>0</v>
      </c>
      <c r="V585" s="6">
        <v>149.97999999999999</v>
      </c>
      <c r="W585" s="6">
        <v>1726.56</v>
      </c>
      <c r="X585" t="s">
        <v>94</v>
      </c>
      <c r="Y585" s="7">
        <f t="shared" si="77"/>
        <v>1.1755485893416929E-2</v>
      </c>
      <c r="Z585" s="7">
        <f t="shared" si="78"/>
        <v>0.95768025078369901</v>
      </c>
      <c r="AA585">
        <f t="shared" si="79"/>
        <v>143</v>
      </c>
      <c r="AB585" s="8">
        <f t="shared" si="80"/>
        <v>2249.6999999999998</v>
      </c>
      <c r="AC585">
        <f t="shared" si="81"/>
        <v>26.1</v>
      </c>
      <c r="AD585" t="str">
        <f t="shared" si="82"/>
        <v>Low</v>
      </c>
      <c r="AE585" t="str">
        <f t="shared" si="83"/>
        <v>No</v>
      </c>
    </row>
    <row r="586" spans="1:31" x14ac:dyDescent="0.35">
      <c r="A586" t="s">
        <v>698</v>
      </c>
      <c r="B586" s="5">
        <v>46293</v>
      </c>
      <c r="C586" t="s">
        <v>640</v>
      </c>
      <c r="D586" t="s">
        <v>20</v>
      </c>
      <c r="E586" t="s">
        <v>78</v>
      </c>
      <c r="F586" t="s">
        <v>31</v>
      </c>
      <c r="G586" t="s">
        <v>79</v>
      </c>
      <c r="H586" t="s">
        <v>40</v>
      </c>
      <c r="I586" t="s">
        <v>44</v>
      </c>
      <c r="J586">
        <v>1493</v>
      </c>
      <c r="K586">
        <v>1516</v>
      </c>
      <c r="L586">
        <v>67</v>
      </c>
      <c r="M586">
        <v>48</v>
      </c>
      <c r="N586">
        <v>1336</v>
      </c>
      <c r="O586">
        <v>48</v>
      </c>
      <c r="P586">
        <v>12.9</v>
      </c>
      <c r="Q586" t="s">
        <v>80</v>
      </c>
      <c r="R586" t="s">
        <v>81</v>
      </c>
      <c r="S586" t="s">
        <v>82</v>
      </c>
      <c r="T586">
        <v>11</v>
      </c>
      <c r="U586">
        <v>5</v>
      </c>
      <c r="V586" s="6">
        <v>381.06</v>
      </c>
      <c r="W586" s="6">
        <v>13584.52</v>
      </c>
      <c r="X586" t="s">
        <v>94</v>
      </c>
      <c r="Y586" s="7">
        <f t="shared" si="77"/>
        <v>4.4195250659630606E-2</v>
      </c>
      <c r="Z586" s="7">
        <f t="shared" si="78"/>
        <v>0.8812664907651715</v>
      </c>
      <c r="AA586">
        <f t="shared" si="79"/>
        <v>-23</v>
      </c>
      <c r="AB586" s="8">
        <f t="shared" si="80"/>
        <v>25531.02</v>
      </c>
      <c r="AC586">
        <f t="shared" si="81"/>
        <v>66.3</v>
      </c>
      <c r="AD586" t="str">
        <f t="shared" si="82"/>
        <v>High</v>
      </c>
      <c r="AE586" t="str">
        <f t="shared" si="83"/>
        <v>Yes</v>
      </c>
    </row>
    <row r="587" spans="1:31" x14ac:dyDescent="0.35">
      <c r="A587" t="s">
        <v>699</v>
      </c>
      <c r="B587" s="5">
        <v>46300</v>
      </c>
      <c r="C587" t="s">
        <v>700</v>
      </c>
      <c r="D587" t="s">
        <v>20</v>
      </c>
      <c r="E587" t="s">
        <v>78</v>
      </c>
      <c r="F587" t="s">
        <v>27</v>
      </c>
      <c r="G587" t="s">
        <v>90</v>
      </c>
      <c r="H587" t="s">
        <v>34</v>
      </c>
      <c r="I587" t="s">
        <v>45</v>
      </c>
      <c r="J587">
        <v>1361</v>
      </c>
      <c r="K587">
        <v>1313</v>
      </c>
      <c r="L587">
        <v>39</v>
      </c>
      <c r="M587">
        <v>32</v>
      </c>
      <c r="N587">
        <v>1183</v>
      </c>
      <c r="O587">
        <v>61.1</v>
      </c>
      <c r="P587">
        <v>1.2</v>
      </c>
      <c r="Q587" t="s">
        <v>80</v>
      </c>
      <c r="R587" t="s">
        <v>81</v>
      </c>
      <c r="S587" t="s">
        <v>82</v>
      </c>
      <c r="T587">
        <v>8</v>
      </c>
      <c r="U587">
        <v>3</v>
      </c>
      <c r="V587" s="6">
        <v>166.18</v>
      </c>
      <c r="W587" s="6">
        <v>3756.01</v>
      </c>
      <c r="X587" t="s">
        <v>94</v>
      </c>
      <c r="Y587" s="7">
        <f t="shared" si="77"/>
        <v>2.9702970297029702E-2</v>
      </c>
      <c r="Z587" s="7">
        <f t="shared" si="78"/>
        <v>0.90099009900990101</v>
      </c>
      <c r="AA587">
        <f t="shared" si="79"/>
        <v>48</v>
      </c>
      <c r="AB587" s="8">
        <f t="shared" si="80"/>
        <v>6481.02</v>
      </c>
      <c r="AC587">
        <f t="shared" si="81"/>
        <v>35.700000000000003</v>
      </c>
      <c r="AD587" t="str">
        <f t="shared" si="82"/>
        <v>Low</v>
      </c>
      <c r="AE587" t="str">
        <f t="shared" si="83"/>
        <v>No</v>
      </c>
    </row>
    <row r="588" spans="1:31" x14ac:dyDescent="0.35">
      <c r="A588" t="s">
        <v>701</v>
      </c>
      <c r="B588" s="5">
        <v>46300</v>
      </c>
      <c r="C588" t="s">
        <v>700</v>
      </c>
      <c r="D588" t="s">
        <v>23</v>
      </c>
      <c r="E588" t="s">
        <v>78</v>
      </c>
      <c r="F588" t="s">
        <v>27</v>
      </c>
      <c r="G588" t="s">
        <v>85</v>
      </c>
      <c r="H588" t="s">
        <v>37</v>
      </c>
      <c r="I588" t="s">
        <v>48</v>
      </c>
      <c r="J588">
        <v>1514</v>
      </c>
      <c r="K588">
        <v>1377</v>
      </c>
      <c r="L588">
        <v>22</v>
      </c>
      <c r="M588">
        <v>9</v>
      </c>
      <c r="N588">
        <v>1249</v>
      </c>
      <c r="O588">
        <v>27.9</v>
      </c>
      <c r="P588">
        <v>15.5</v>
      </c>
      <c r="Q588" t="s">
        <v>86</v>
      </c>
      <c r="R588" t="s">
        <v>81</v>
      </c>
      <c r="S588" t="s">
        <v>82</v>
      </c>
      <c r="T588">
        <v>2</v>
      </c>
      <c r="U588">
        <v>1</v>
      </c>
      <c r="V588" s="6">
        <v>331.41</v>
      </c>
      <c r="W588" s="6">
        <v>5773.35</v>
      </c>
      <c r="X588" t="s">
        <v>83</v>
      </c>
      <c r="Y588" s="7">
        <f t="shared" si="77"/>
        <v>1.597676107480029E-2</v>
      </c>
      <c r="Z588" s="7">
        <f t="shared" si="78"/>
        <v>0.90704429920116192</v>
      </c>
      <c r="AA588">
        <f t="shared" si="79"/>
        <v>137</v>
      </c>
      <c r="AB588" s="8">
        <f t="shared" si="80"/>
        <v>7291.02</v>
      </c>
      <c r="AC588">
        <f t="shared" si="81"/>
        <v>58.3</v>
      </c>
      <c r="AD588" t="str">
        <f t="shared" si="82"/>
        <v>Medium</v>
      </c>
      <c r="AE588" t="str">
        <f t="shared" si="83"/>
        <v>Yes</v>
      </c>
    </row>
    <row r="589" spans="1:31" x14ac:dyDescent="0.35">
      <c r="A589" t="s">
        <v>702</v>
      </c>
      <c r="B589" s="5">
        <v>46300</v>
      </c>
      <c r="C589" t="s">
        <v>700</v>
      </c>
      <c r="D589" t="s">
        <v>20</v>
      </c>
      <c r="E589" t="s">
        <v>78</v>
      </c>
      <c r="F589" t="s">
        <v>30</v>
      </c>
      <c r="G589" t="s">
        <v>85</v>
      </c>
      <c r="H589" t="s">
        <v>38</v>
      </c>
      <c r="I589" t="s">
        <v>47</v>
      </c>
      <c r="J589">
        <v>1192</v>
      </c>
      <c r="K589">
        <v>1232</v>
      </c>
      <c r="L589">
        <v>26</v>
      </c>
      <c r="M589">
        <v>12</v>
      </c>
      <c r="N589">
        <v>1105</v>
      </c>
      <c r="O589">
        <v>51.8</v>
      </c>
      <c r="P589">
        <v>11.6</v>
      </c>
      <c r="Q589" t="s">
        <v>80</v>
      </c>
      <c r="R589" t="s">
        <v>81</v>
      </c>
      <c r="S589" t="s">
        <v>82</v>
      </c>
      <c r="T589">
        <v>4</v>
      </c>
      <c r="U589">
        <v>3</v>
      </c>
      <c r="V589" s="6">
        <v>344.83</v>
      </c>
      <c r="W589" s="6">
        <v>3783.73</v>
      </c>
      <c r="X589" t="s">
        <v>121</v>
      </c>
      <c r="Y589" s="7">
        <f t="shared" si="77"/>
        <v>2.1103896103896104E-2</v>
      </c>
      <c r="Z589" s="7">
        <f t="shared" si="78"/>
        <v>0.89691558441558439</v>
      </c>
      <c r="AA589">
        <f t="shared" si="79"/>
        <v>-40</v>
      </c>
      <c r="AB589" s="8">
        <f t="shared" si="80"/>
        <v>8965.58</v>
      </c>
      <c r="AC589">
        <f t="shared" si="81"/>
        <v>40.799999999999997</v>
      </c>
      <c r="AD589" t="str">
        <f t="shared" si="82"/>
        <v>Medium</v>
      </c>
      <c r="AE589" t="str">
        <f t="shared" si="83"/>
        <v>No</v>
      </c>
    </row>
    <row r="590" spans="1:31" x14ac:dyDescent="0.35">
      <c r="A590" t="s">
        <v>703</v>
      </c>
      <c r="B590" s="5">
        <v>46300</v>
      </c>
      <c r="C590" t="s">
        <v>700</v>
      </c>
      <c r="D590" t="s">
        <v>25</v>
      </c>
      <c r="E590" t="s">
        <v>89</v>
      </c>
      <c r="F590" t="s">
        <v>29</v>
      </c>
      <c r="G590" t="s">
        <v>79</v>
      </c>
      <c r="H590" t="s">
        <v>34</v>
      </c>
      <c r="I590" t="s">
        <v>46</v>
      </c>
      <c r="J590">
        <v>1227</v>
      </c>
      <c r="K590">
        <v>1200</v>
      </c>
      <c r="L590">
        <v>12</v>
      </c>
      <c r="M590">
        <v>9</v>
      </c>
      <c r="N590">
        <v>1073</v>
      </c>
      <c r="O590">
        <v>63.3</v>
      </c>
      <c r="P590">
        <v>5</v>
      </c>
      <c r="Q590" t="s">
        <v>80</v>
      </c>
      <c r="R590" t="s">
        <v>81</v>
      </c>
      <c r="S590" t="s">
        <v>82</v>
      </c>
      <c r="T590">
        <v>0</v>
      </c>
      <c r="U590">
        <v>0</v>
      </c>
      <c r="V590" s="6">
        <v>405.82</v>
      </c>
      <c r="W590" s="6">
        <v>2073.44</v>
      </c>
      <c r="X590" t="s">
        <v>83</v>
      </c>
      <c r="Y590" s="7">
        <f t="shared" si="77"/>
        <v>0.01</v>
      </c>
      <c r="Z590" s="7">
        <f t="shared" si="78"/>
        <v>0.89416666666666667</v>
      </c>
      <c r="AA590">
        <f t="shared" si="79"/>
        <v>27</v>
      </c>
      <c r="AB590" s="8">
        <f t="shared" si="80"/>
        <v>4869.84</v>
      </c>
      <c r="AC590">
        <f t="shared" si="81"/>
        <v>21.3</v>
      </c>
      <c r="AD590" t="str">
        <f t="shared" si="82"/>
        <v>Low</v>
      </c>
      <c r="AE590" t="str">
        <f t="shared" si="83"/>
        <v>No</v>
      </c>
    </row>
    <row r="591" spans="1:31" x14ac:dyDescent="0.35">
      <c r="A591" t="s">
        <v>704</v>
      </c>
      <c r="B591" s="5">
        <v>46300</v>
      </c>
      <c r="C591" t="s">
        <v>700</v>
      </c>
      <c r="D591" t="s">
        <v>20</v>
      </c>
      <c r="E591" t="s">
        <v>78</v>
      </c>
      <c r="F591" t="s">
        <v>29</v>
      </c>
      <c r="G591" t="s">
        <v>85</v>
      </c>
      <c r="H591" t="s">
        <v>37</v>
      </c>
      <c r="I591" t="s">
        <v>48</v>
      </c>
      <c r="J591">
        <v>973</v>
      </c>
      <c r="K591">
        <v>921</v>
      </c>
      <c r="L591">
        <v>31</v>
      </c>
      <c r="M591">
        <v>16</v>
      </c>
      <c r="N591">
        <v>829</v>
      </c>
      <c r="O591">
        <v>24.2</v>
      </c>
      <c r="P591">
        <v>1.3</v>
      </c>
      <c r="Q591" t="s">
        <v>80</v>
      </c>
      <c r="R591" t="s">
        <v>81</v>
      </c>
      <c r="S591" t="s">
        <v>82</v>
      </c>
      <c r="T591">
        <v>7</v>
      </c>
      <c r="U591">
        <v>2</v>
      </c>
      <c r="V591" s="6">
        <v>265.36</v>
      </c>
      <c r="W591" s="6">
        <v>3885.73</v>
      </c>
      <c r="X591" t="s">
        <v>94</v>
      </c>
      <c r="Y591" s="7">
        <f t="shared" si="77"/>
        <v>3.3659066232356136E-2</v>
      </c>
      <c r="Z591" s="7">
        <f t="shared" si="78"/>
        <v>0.90010857763300756</v>
      </c>
      <c r="AA591">
        <f t="shared" si="79"/>
        <v>52</v>
      </c>
      <c r="AB591" s="8">
        <f t="shared" si="80"/>
        <v>8226.16</v>
      </c>
      <c r="AC591">
        <f t="shared" si="81"/>
        <v>39.799999999999997</v>
      </c>
      <c r="AD591" t="str">
        <f t="shared" si="82"/>
        <v>Low</v>
      </c>
      <c r="AE591" t="str">
        <f t="shared" si="83"/>
        <v>No</v>
      </c>
    </row>
    <row r="592" spans="1:31" x14ac:dyDescent="0.35">
      <c r="A592" t="s">
        <v>705</v>
      </c>
      <c r="B592" s="5">
        <v>46300</v>
      </c>
      <c r="C592" t="s">
        <v>700</v>
      </c>
      <c r="D592" t="s">
        <v>25</v>
      </c>
      <c r="E592" t="s">
        <v>89</v>
      </c>
      <c r="F592" t="s">
        <v>31</v>
      </c>
      <c r="G592" t="s">
        <v>79</v>
      </c>
      <c r="H592" t="s">
        <v>36</v>
      </c>
      <c r="I592" t="s">
        <v>42</v>
      </c>
      <c r="J592">
        <v>809</v>
      </c>
      <c r="K592">
        <v>791</v>
      </c>
      <c r="L592">
        <v>16</v>
      </c>
      <c r="M592">
        <v>12</v>
      </c>
      <c r="N592">
        <v>779</v>
      </c>
      <c r="O592">
        <v>30.6</v>
      </c>
      <c r="P592">
        <v>14.3</v>
      </c>
      <c r="Q592" t="s">
        <v>80</v>
      </c>
      <c r="R592" t="s">
        <v>81</v>
      </c>
      <c r="S592" t="s">
        <v>82</v>
      </c>
      <c r="T592">
        <v>5</v>
      </c>
      <c r="U592">
        <v>3</v>
      </c>
      <c r="V592" s="6">
        <v>392.45</v>
      </c>
      <c r="W592" s="6">
        <v>3396.17</v>
      </c>
      <c r="X592" t="s">
        <v>121</v>
      </c>
      <c r="Y592" s="7">
        <f t="shared" si="77"/>
        <v>2.0227560050568902E-2</v>
      </c>
      <c r="Z592" s="7">
        <f t="shared" si="78"/>
        <v>0.98482932996207329</v>
      </c>
      <c r="AA592">
        <f t="shared" si="79"/>
        <v>18</v>
      </c>
      <c r="AB592" s="8">
        <f t="shared" si="80"/>
        <v>6279.2</v>
      </c>
      <c r="AC592">
        <f t="shared" si="81"/>
        <v>39.5</v>
      </c>
      <c r="AD592" t="str">
        <f t="shared" si="82"/>
        <v>Low</v>
      </c>
      <c r="AE592" t="str">
        <f t="shared" si="83"/>
        <v>No</v>
      </c>
    </row>
    <row r="593" spans="1:31" x14ac:dyDescent="0.35">
      <c r="A593" t="s">
        <v>706</v>
      </c>
      <c r="B593" s="5">
        <v>46300</v>
      </c>
      <c r="C593" t="s">
        <v>700</v>
      </c>
      <c r="D593" t="s">
        <v>24</v>
      </c>
      <c r="E593" t="s">
        <v>78</v>
      </c>
      <c r="F593" t="s">
        <v>32</v>
      </c>
      <c r="G593" t="s">
        <v>90</v>
      </c>
      <c r="H593" t="s">
        <v>34</v>
      </c>
      <c r="I593" t="s">
        <v>42</v>
      </c>
      <c r="J593">
        <v>1473</v>
      </c>
      <c r="K593">
        <v>1575</v>
      </c>
      <c r="L593">
        <v>33</v>
      </c>
      <c r="M593">
        <v>11</v>
      </c>
      <c r="N593">
        <v>1567</v>
      </c>
      <c r="O593">
        <v>47.3</v>
      </c>
      <c r="P593">
        <v>5.0999999999999996</v>
      </c>
      <c r="Q593" t="s">
        <v>80</v>
      </c>
      <c r="R593" t="s">
        <v>81</v>
      </c>
      <c r="S593" t="s">
        <v>82</v>
      </c>
      <c r="T593">
        <v>13</v>
      </c>
      <c r="U593">
        <v>2</v>
      </c>
      <c r="V593" s="6">
        <v>360.62</v>
      </c>
      <c r="W593" s="6">
        <v>7680.29</v>
      </c>
      <c r="X593" t="s">
        <v>110</v>
      </c>
      <c r="Y593" s="7">
        <f t="shared" si="77"/>
        <v>2.0952380952380951E-2</v>
      </c>
      <c r="Z593" s="7">
        <f t="shared" si="78"/>
        <v>0.99492063492063487</v>
      </c>
      <c r="AA593">
        <f t="shared" si="79"/>
        <v>-102</v>
      </c>
      <c r="AB593" s="8">
        <f t="shared" si="80"/>
        <v>11900.460000000001</v>
      </c>
      <c r="AC593">
        <f t="shared" si="81"/>
        <v>27.8</v>
      </c>
      <c r="AD593" t="str">
        <f t="shared" si="82"/>
        <v>Low</v>
      </c>
      <c r="AE593" t="str">
        <f t="shared" si="83"/>
        <v>No</v>
      </c>
    </row>
    <row r="594" spans="1:31" x14ac:dyDescent="0.35">
      <c r="A594" t="s">
        <v>707</v>
      </c>
      <c r="B594" s="5">
        <v>46300</v>
      </c>
      <c r="C594" t="s">
        <v>700</v>
      </c>
      <c r="D594" t="s">
        <v>22</v>
      </c>
      <c r="E594" t="s">
        <v>93</v>
      </c>
      <c r="F594" t="s">
        <v>29</v>
      </c>
      <c r="G594" t="s">
        <v>85</v>
      </c>
      <c r="H594" t="s">
        <v>39</v>
      </c>
      <c r="I594" t="s">
        <v>48</v>
      </c>
      <c r="J594">
        <v>954</v>
      </c>
      <c r="K594">
        <v>958</v>
      </c>
      <c r="L594">
        <v>40</v>
      </c>
      <c r="M594">
        <v>29</v>
      </c>
      <c r="N594">
        <v>894</v>
      </c>
      <c r="O594">
        <v>43.4</v>
      </c>
      <c r="P594">
        <v>10.8</v>
      </c>
      <c r="Q594" t="s">
        <v>80</v>
      </c>
      <c r="R594" t="s">
        <v>81</v>
      </c>
      <c r="S594" t="s">
        <v>82</v>
      </c>
      <c r="T594">
        <v>10</v>
      </c>
      <c r="U594">
        <v>1</v>
      </c>
      <c r="V594" s="6">
        <v>205.98</v>
      </c>
      <c r="W594" s="6">
        <v>3916.72</v>
      </c>
      <c r="X594" t="s">
        <v>87</v>
      </c>
      <c r="Y594" s="7">
        <f t="shared" si="77"/>
        <v>4.1753653444676408E-2</v>
      </c>
      <c r="Z594" s="7">
        <f t="shared" si="78"/>
        <v>0.93319415448851772</v>
      </c>
      <c r="AA594">
        <f t="shared" si="79"/>
        <v>-4</v>
      </c>
      <c r="AB594" s="8">
        <f t="shared" si="80"/>
        <v>8239.1999999999989</v>
      </c>
      <c r="AC594">
        <f t="shared" si="81"/>
        <v>58.8</v>
      </c>
      <c r="AD594" t="str">
        <f t="shared" si="82"/>
        <v>Medium</v>
      </c>
      <c r="AE594" t="str">
        <f t="shared" si="83"/>
        <v>No</v>
      </c>
    </row>
    <row r="595" spans="1:31" x14ac:dyDescent="0.35">
      <c r="A595" t="s">
        <v>708</v>
      </c>
      <c r="B595" s="5">
        <v>46300</v>
      </c>
      <c r="C595" t="s">
        <v>700</v>
      </c>
      <c r="D595" t="s">
        <v>25</v>
      </c>
      <c r="E595" t="s">
        <v>89</v>
      </c>
      <c r="F595" t="s">
        <v>27</v>
      </c>
      <c r="G595" t="s">
        <v>85</v>
      </c>
      <c r="H595" t="s">
        <v>40</v>
      </c>
      <c r="I595" t="s">
        <v>44</v>
      </c>
      <c r="J595">
        <v>842</v>
      </c>
      <c r="K595">
        <v>763</v>
      </c>
      <c r="L595">
        <v>10</v>
      </c>
      <c r="M595">
        <v>5</v>
      </c>
      <c r="N595">
        <v>756</v>
      </c>
      <c r="O595">
        <v>45</v>
      </c>
      <c r="P595">
        <v>11.1</v>
      </c>
      <c r="Q595" t="s">
        <v>80</v>
      </c>
      <c r="R595" t="s">
        <v>81</v>
      </c>
      <c r="S595" t="s">
        <v>100</v>
      </c>
      <c r="T595">
        <v>0</v>
      </c>
      <c r="U595">
        <v>0</v>
      </c>
      <c r="V595" s="6">
        <v>231.92</v>
      </c>
      <c r="W595" s="6">
        <v>1524.98</v>
      </c>
      <c r="X595" t="s">
        <v>87</v>
      </c>
      <c r="Y595" s="7">
        <f t="shared" si="77"/>
        <v>1.310615989515072E-2</v>
      </c>
      <c r="Z595" s="7">
        <f t="shared" si="78"/>
        <v>0.99082568807339455</v>
      </c>
      <c r="AA595">
        <f t="shared" si="79"/>
        <v>79</v>
      </c>
      <c r="AB595" s="8">
        <f t="shared" si="80"/>
        <v>2319.1999999999998</v>
      </c>
      <c r="AC595">
        <f t="shared" si="81"/>
        <v>27.9</v>
      </c>
      <c r="AD595" t="str">
        <f t="shared" si="82"/>
        <v>Low</v>
      </c>
      <c r="AE595" t="str">
        <f t="shared" si="83"/>
        <v>No</v>
      </c>
    </row>
    <row r="596" spans="1:31" x14ac:dyDescent="0.35">
      <c r="A596" t="s">
        <v>709</v>
      </c>
      <c r="B596" s="5">
        <v>46300</v>
      </c>
      <c r="C596" t="s">
        <v>700</v>
      </c>
      <c r="D596" t="s">
        <v>25</v>
      </c>
      <c r="E596" t="s">
        <v>89</v>
      </c>
      <c r="F596" t="s">
        <v>31</v>
      </c>
      <c r="G596" t="s">
        <v>79</v>
      </c>
      <c r="H596" t="s">
        <v>39</v>
      </c>
      <c r="I596" t="s">
        <v>47</v>
      </c>
      <c r="J596">
        <v>828</v>
      </c>
      <c r="K596">
        <v>752</v>
      </c>
      <c r="L596">
        <v>18</v>
      </c>
      <c r="M596">
        <v>7</v>
      </c>
      <c r="N596">
        <v>690</v>
      </c>
      <c r="O596">
        <v>53.5</v>
      </c>
      <c r="P596">
        <v>9.1999999999999993</v>
      </c>
      <c r="Q596" t="s">
        <v>86</v>
      </c>
      <c r="R596" t="s">
        <v>81</v>
      </c>
      <c r="S596" t="s">
        <v>82</v>
      </c>
      <c r="T596">
        <v>3</v>
      </c>
      <c r="U596">
        <v>3</v>
      </c>
      <c r="V596" s="6">
        <v>277.45</v>
      </c>
      <c r="W596" s="6">
        <v>3682.6</v>
      </c>
      <c r="X596" t="s">
        <v>94</v>
      </c>
      <c r="Y596" s="7">
        <f t="shared" si="77"/>
        <v>2.3936170212765957E-2</v>
      </c>
      <c r="Z596" s="7">
        <f t="shared" si="78"/>
        <v>0.91755319148936165</v>
      </c>
      <c r="AA596">
        <f t="shared" si="79"/>
        <v>76</v>
      </c>
      <c r="AB596" s="8">
        <f t="shared" si="80"/>
        <v>4994.0999999999995</v>
      </c>
      <c r="AC596">
        <f t="shared" si="81"/>
        <v>57.6</v>
      </c>
      <c r="AD596" t="str">
        <f t="shared" si="82"/>
        <v>Medium</v>
      </c>
      <c r="AE596" t="str">
        <f t="shared" si="83"/>
        <v>Yes</v>
      </c>
    </row>
    <row r="597" spans="1:31" x14ac:dyDescent="0.35">
      <c r="A597" t="s">
        <v>710</v>
      </c>
      <c r="B597" s="5">
        <v>46300</v>
      </c>
      <c r="C597" t="s">
        <v>700</v>
      </c>
      <c r="D597" t="s">
        <v>24</v>
      </c>
      <c r="E597" t="s">
        <v>78</v>
      </c>
      <c r="F597" t="s">
        <v>31</v>
      </c>
      <c r="G597" t="s">
        <v>85</v>
      </c>
      <c r="H597" t="s">
        <v>40</v>
      </c>
      <c r="I597" t="s">
        <v>47</v>
      </c>
      <c r="J597">
        <v>932</v>
      </c>
      <c r="K597">
        <v>920</v>
      </c>
      <c r="L597">
        <v>19</v>
      </c>
      <c r="M597">
        <v>7</v>
      </c>
      <c r="N597">
        <v>885</v>
      </c>
      <c r="O597">
        <v>65</v>
      </c>
      <c r="P597">
        <v>2.5</v>
      </c>
      <c r="Q597" t="s">
        <v>80</v>
      </c>
      <c r="R597" t="s">
        <v>81</v>
      </c>
      <c r="S597" t="s">
        <v>82</v>
      </c>
      <c r="T597">
        <v>1</v>
      </c>
      <c r="U597">
        <v>1</v>
      </c>
      <c r="V597" s="6">
        <v>364.68</v>
      </c>
      <c r="W597" s="6">
        <v>3419.85</v>
      </c>
      <c r="X597" t="s">
        <v>94</v>
      </c>
      <c r="Y597" s="7">
        <f t="shared" si="77"/>
        <v>2.0652173913043477E-2</v>
      </c>
      <c r="Z597" s="7">
        <f t="shared" si="78"/>
        <v>0.96195652173913049</v>
      </c>
      <c r="AA597">
        <f t="shared" si="79"/>
        <v>12</v>
      </c>
      <c r="AB597" s="8">
        <f t="shared" si="80"/>
        <v>6928.92</v>
      </c>
      <c r="AC597">
        <f t="shared" si="81"/>
        <v>25.6</v>
      </c>
      <c r="AD597" t="str">
        <f t="shared" si="82"/>
        <v>Low</v>
      </c>
      <c r="AE597" t="str">
        <f t="shared" si="83"/>
        <v>No</v>
      </c>
    </row>
    <row r="598" spans="1:31" x14ac:dyDescent="0.35">
      <c r="A598" t="s">
        <v>711</v>
      </c>
      <c r="B598" s="5">
        <v>46300</v>
      </c>
      <c r="C598" t="s">
        <v>700</v>
      </c>
      <c r="D598" t="s">
        <v>25</v>
      </c>
      <c r="E598" t="s">
        <v>89</v>
      </c>
      <c r="F598" t="s">
        <v>29</v>
      </c>
      <c r="G598" t="s">
        <v>79</v>
      </c>
      <c r="H598" t="s">
        <v>38</v>
      </c>
      <c r="I598" t="s">
        <v>44</v>
      </c>
      <c r="J598">
        <v>1166</v>
      </c>
      <c r="K598">
        <v>1090</v>
      </c>
      <c r="L598">
        <v>18</v>
      </c>
      <c r="M598">
        <v>13</v>
      </c>
      <c r="N598">
        <v>1005</v>
      </c>
      <c r="O598">
        <v>27.4</v>
      </c>
      <c r="P598">
        <v>0</v>
      </c>
      <c r="Q598" t="s">
        <v>80</v>
      </c>
      <c r="R598" t="s">
        <v>81</v>
      </c>
      <c r="S598" t="s">
        <v>82</v>
      </c>
      <c r="T598">
        <v>3</v>
      </c>
      <c r="U598">
        <v>6</v>
      </c>
      <c r="V598" s="6">
        <v>401.6</v>
      </c>
      <c r="W598" s="6">
        <v>3787.36</v>
      </c>
      <c r="X598" t="s">
        <v>94</v>
      </c>
      <c r="Y598" s="7">
        <f t="shared" si="77"/>
        <v>1.6513761467889909E-2</v>
      </c>
      <c r="Z598" s="7">
        <f t="shared" si="78"/>
        <v>0.92201834862385323</v>
      </c>
      <c r="AA598">
        <f t="shared" si="79"/>
        <v>76</v>
      </c>
      <c r="AB598" s="8">
        <f t="shared" si="80"/>
        <v>7228.8</v>
      </c>
      <c r="AC598">
        <f t="shared" si="81"/>
        <v>20</v>
      </c>
      <c r="AD598" t="str">
        <f t="shared" si="82"/>
        <v>Low</v>
      </c>
      <c r="AE598" t="str">
        <f t="shared" si="83"/>
        <v>No</v>
      </c>
    </row>
    <row r="599" spans="1:31" x14ac:dyDescent="0.35">
      <c r="A599" t="s">
        <v>712</v>
      </c>
      <c r="B599" s="5">
        <v>46300</v>
      </c>
      <c r="C599" t="s">
        <v>700</v>
      </c>
      <c r="D599" t="s">
        <v>24</v>
      </c>
      <c r="E599" t="s">
        <v>78</v>
      </c>
      <c r="F599" t="s">
        <v>31</v>
      </c>
      <c r="G599" t="s">
        <v>90</v>
      </c>
      <c r="H599" t="s">
        <v>39</v>
      </c>
      <c r="I599" t="s">
        <v>45</v>
      </c>
      <c r="J599">
        <v>1439</v>
      </c>
      <c r="K599">
        <v>1431</v>
      </c>
      <c r="L599">
        <v>44</v>
      </c>
      <c r="M599">
        <v>27</v>
      </c>
      <c r="N599">
        <v>1383</v>
      </c>
      <c r="O599">
        <v>47.2</v>
      </c>
      <c r="P599">
        <v>0</v>
      </c>
      <c r="Q599" t="s">
        <v>80</v>
      </c>
      <c r="R599" t="s">
        <v>81</v>
      </c>
      <c r="S599" t="s">
        <v>82</v>
      </c>
      <c r="T599">
        <v>9</v>
      </c>
      <c r="U599">
        <v>2</v>
      </c>
      <c r="V599" s="6">
        <v>289.44</v>
      </c>
      <c r="W599" s="6">
        <v>7177.92</v>
      </c>
      <c r="X599" t="s">
        <v>121</v>
      </c>
      <c r="Y599" s="7">
        <f t="shared" si="77"/>
        <v>3.0747728860936407E-2</v>
      </c>
      <c r="Z599" s="7">
        <f t="shared" si="78"/>
        <v>0.96645702306079662</v>
      </c>
      <c r="AA599">
        <f t="shared" si="79"/>
        <v>8</v>
      </c>
      <c r="AB599" s="8">
        <f t="shared" si="80"/>
        <v>12735.36</v>
      </c>
      <c r="AC599">
        <f t="shared" si="81"/>
        <v>32.299999999999997</v>
      </c>
      <c r="AD599" t="str">
        <f t="shared" si="82"/>
        <v>Low</v>
      </c>
      <c r="AE599" t="str">
        <f t="shared" si="83"/>
        <v>No</v>
      </c>
    </row>
    <row r="600" spans="1:31" x14ac:dyDescent="0.35">
      <c r="A600" t="s">
        <v>713</v>
      </c>
      <c r="B600" s="5">
        <v>46300</v>
      </c>
      <c r="C600" t="s">
        <v>700</v>
      </c>
      <c r="D600" t="s">
        <v>20</v>
      </c>
      <c r="E600" t="s">
        <v>78</v>
      </c>
      <c r="F600" t="s">
        <v>29</v>
      </c>
      <c r="G600" t="s">
        <v>85</v>
      </c>
      <c r="H600" t="s">
        <v>34</v>
      </c>
      <c r="I600" t="s">
        <v>46</v>
      </c>
      <c r="J600">
        <v>1046</v>
      </c>
      <c r="K600">
        <v>993</v>
      </c>
      <c r="L600">
        <v>22</v>
      </c>
      <c r="M600">
        <v>17</v>
      </c>
      <c r="N600">
        <v>962</v>
      </c>
      <c r="O600">
        <v>62.8</v>
      </c>
      <c r="P600">
        <v>13.4</v>
      </c>
      <c r="Q600" t="s">
        <v>80</v>
      </c>
      <c r="R600" t="s">
        <v>81</v>
      </c>
      <c r="S600" t="s">
        <v>82</v>
      </c>
      <c r="T600">
        <v>7</v>
      </c>
      <c r="U600">
        <v>2</v>
      </c>
      <c r="V600" s="6">
        <v>347.28</v>
      </c>
      <c r="W600" s="6">
        <v>3761.24</v>
      </c>
      <c r="X600" t="s">
        <v>91</v>
      </c>
      <c r="Y600" s="7">
        <f t="shared" si="77"/>
        <v>2.2155085599194362E-2</v>
      </c>
      <c r="Z600" s="7">
        <f t="shared" si="78"/>
        <v>0.96878147029204431</v>
      </c>
      <c r="AA600">
        <f t="shared" si="79"/>
        <v>53</v>
      </c>
      <c r="AB600" s="8">
        <f t="shared" si="80"/>
        <v>7640.16</v>
      </c>
      <c r="AC600">
        <f t="shared" si="81"/>
        <v>41</v>
      </c>
      <c r="AD600" t="str">
        <f t="shared" si="82"/>
        <v>Medium</v>
      </c>
      <c r="AE600" t="str">
        <f t="shared" si="83"/>
        <v>No</v>
      </c>
    </row>
    <row r="601" spans="1:31" x14ac:dyDescent="0.35">
      <c r="A601" t="s">
        <v>714</v>
      </c>
      <c r="B601" s="5">
        <v>46300</v>
      </c>
      <c r="C601" t="s">
        <v>700</v>
      </c>
      <c r="D601" t="s">
        <v>20</v>
      </c>
      <c r="E601" t="s">
        <v>78</v>
      </c>
      <c r="F601" t="s">
        <v>31</v>
      </c>
      <c r="G601" t="s">
        <v>85</v>
      </c>
      <c r="H601" t="s">
        <v>34</v>
      </c>
      <c r="I601" t="s">
        <v>47</v>
      </c>
      <c r="J601">
        <v>1178</v>
      </c>
      <c r="K601">
        <v>1102</v>
      </c>
      <c r="L601">
        <v>27</v>
      </c>
      <c r="M601">
        <v>22</v>
      </c>
      <c r="N601">
        <v>1000</v>
      </c>
      <c r="O601">
        <v>74.099999999999994</v>
      </c>
      <c r="P601">
        <v>8.4</v>
      </c>
      <c r="Q601" t="s">
        <v>80</v>
      </c>
      <c r="R601" t="s">
        <v>81</v>
      </c>
      <c r="S601" t="s">
        <v>82</v>
      </c>
      <c r="T601">
        <v>8</v>
      </c>
      <c r="U601">
        <v>3</v>
      </c>
      <c r="V601" s="6">
        <v>116.66</v>
      </c>
      <c r="W601" s="6">
        <v>2369.69</v>
      </c>
      <c r="X601" t="s">
        <v>94</v>
      </c>
      <c r="Y601" s="7">
        <f t="shared" si="77"/>
        <v>2.4500907441016333E-2</v>
      </c>
      <c r="Z601" s="7">
        <f t="shared" si="78"/>
        <v>0.90744101633393826</v>
      </c>
      <c r="AA601">
        <f t="shared" si="79"/>
        <v>76</v>
      </c>
      <c r="AB601" s="8">
        <f t="shared" si="80"/>
        <v>3149.8199999999997</v>
      </c>
      <c r="AC601">
        <f t="shared" si="81"/>
        <v>39.6</v>
      </c>
      <c r="AD601" t="str">
        <f t="shared" si="82"/>
        <v>Low</v>
      </c>
      <c r="AE601" t="str">
        <f t="shared" si="83"/>
        <v>No</v>
      </c>
    </row>
  </sheetData>
  <conditionalFormatting sqref="Y2:Y601">
    <cfRule type="cellIs" dxfId="3" priority="1" operator="greaterThan">
      <formula>0.05</formula>
    </cfRule>
  </conditionalFormatting>
  <conditionalFormatting sqref="AD2:AD601">
    <cfRule type="expression" dxfId="2" priority="2">
      <formula>$AD2="High"</formula>
    </cfRule>
  </conditionalFormatting>
  <pageMargins left="0.75" right="0.75" top="1" bottom="1" header="0.5" footer="0.5"/>
  <pageSetup fitToHeight="0"/>
  <headerFooter>
    <oddHeader>&amp;CFord-relevant fictional training workbook</oddHeader>
    <oddFooter>&amp;CSynthetic data only — not operational data</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S241"/>
  <sheetViews>
    <sheetView showGridLines="0" workbookViewId="0">
      <pane ySplit="1" topLeftCell="A2" activePane="bottomLeft" state="frozen"/>
      <selection pane="bottomLeft"/>
    </sheetView>
  </sheetViews>
  <sheetFormatPr defaultRowHeight="14.5" x14ac:dyDescent="0.35"/>
  <cols>
    <col min="1" max="2" width="13" customWidth="1"/>
    <col min="3" max="3" width="23" customWidth="1"/>
    <col min="4" max="4" width="20" customWidth="1"/>
    <col min="5" max="5" width="26" customWidth="1"/>
    <col min="6" max="6" width="24" customWidth="1"/>
    <col min="7" max="7" width="15" customWidth="1"/>
    <col min="8" max="9" width="18" customWidth="1"/>
    <col min="10" max="10" width="10" customWidth="1"/>
    <col min="11" max="11" width="11" customWidth="1"/>
    <col min="12" max="12" width="16" customWidth="1"/>
    <col min="13" max="13" width="20" customWidth="1"/>
    <col min="14" max="14" width="11" customWidth="1"/>
    <col min="15" max="15" width="14" customWidth="1"/>
    <col min="16" max="16" width="12" customWidth="1"/>
    <col min="17" max="18" width="20" customWidth="1"/>
    <col min="19" max="19" width="34" customWidth="1"/>
  </cols>
  <sheetData>
    <row r="1" spans="1:19" ht="29" x14ac:dyDescent="0.35">
      <c r="A1" s="4" t="s">
        <v>715</v>
      </c>
      <c r="B1" s="4" t="s">
        <v>716</v>
      </c>
      <c r="C1" s="4" t="s">
        <v>19</v>
      </c>
      <c r="D1" s="4" t="s">
        <v>26</v>
      </c>
      <c r="E1" s="4" t="s">
        <v>33</v>
      </c>
      <c r="F1" s="4" t="s">
        <v>41</v>
      </c>
      <c r="G1" s="4" t="s">
        <v>717</v>
      </c>
      <c r="H1" s="4" t="s">
        <v>718</v>
      </c>
      <c r="I1" s="4" t="s">
        <v>719</v>
      </c>
      <c r="J1" s="4" t="s">
        <v>720</v>
      </c>
      <c r="K1" s="4" t="s">
        <v>721</v>
      </c>
      <c r="L1" s="4" t="s">
        <v>722</v>
      </c>
      <c r="M1" s="4" t="s">
        <v>723</v>
      </c>
      <c r="N1" s="4" t="s">
        <v>724</v>
      </c>
      <c r="O1" s="4" t="s">
        <v>725</v>
      </c>
      <c r="P1" s="4" t="s">
        <v>726</v>
      </c>
      <c r="Q1" s="4" t="s">
        <v>727</v>
      </c>
      <c r="R1" s="4" t="s">
        <v>75</v>
      </c>
      <c r="S1" s="4" t="s">
        <v>728</v>
      </c>
    </row>
    <row r="2" spans="1:19" x14ac:dyDescent="0.35">
      <c r="A2" t="s">
        <v>729</v>
      </c>
      <c r="B2" s="5">
        <v>46260</v>
      </c>
      <c r="C2" t="s">
        <v>25</v>
      </c>
      <c r="D2" t="s">
        <v>30</v>
      </c>
      <c r="E2" t="s">
        <v>38</v>
      </c>
      <c r="F2" t="s">
        <v>44</v>
      </c>
      <c r="G2" t="s">
        <v>730</v>
      </c>
      <c r="H2" t="s">
        <v>731</v>
      </c>
      <c r="I2" t="s">
        <v>732</v>
      </c>
      <c r="J2">
        <v>1</v>
      </c>
      <c r="K2">
        <v>4</v>
      </c>
      <c r="L2" t="s">
        <v>733</v>
      </c>
      <c r="M2" s="8">
        <v>1282120</v>
      </c>
      <c r="N2">
        <v>72</v>
      </c>
      <c r="O2">
        <v>12</v>
      </c>
      <c r="P2">
        <f t="shared" ref="P2:P65" si="0">J2*K2+IF(G2="Worsening",5,0)+IF(H2="Missing",5,IF(H2="Pending",2,0))+IF(I2="At Risk",5,IF(I2="Conditional",2,0))</f>
        <v>4</v>
      </c>
      <c r="Q2" t="str">
        <f t="shared" ref="Q2:Q65" si="1">IF(P2&gt;=O2,"Review Required",IF(P2&gt;=O2*0.75,"Approaching Review","Monitor"))</f>
        <v>Monitor</v>
      </c>
      <c r="R2" t="str">
        <f t="shared" ref="R2:R65" si="2">IF(OR(L2="Critical",Q2="Review Required",H2="Missing"),"Yes","No")</f>
        <v>No</v>
      </c>
      <c r="S2" t="str">
        <f t="shared" ref="S2:S65" si="3">IF(H2="Missing","Validate calibration evidence",IF(G2="Worsening","Review defect trend and containment",IF(I2="At Risk","Escalate supplier readiness","Continue monitoring")))</f>
        <v>Continue monitoring</v>
      </c>
    </row>
    <row r="3" spans="1:19" x14ac:dyDescent="0.35">
      <c r="A3" t="s">
        <v>734</v>
      </c>
      <c r="B3" s="5">
        <v>46279</v>
      </c>
      <c r="C3" t="s">
        <v>23</v>
      </c>
      <c r="D3" t="s">
        <v>32</v>
      </c>
      <c r="E3" t="s">
        <v>38</v>
      </c>
      <c r="F3" t="s">
        <v>48</v>
      </c>
      <c r="G3" t="s">
        <v>730</v>
      </c>
      <c r="H3" t="s">
        <v>96</v>
      </c>
      <c r="I3" t="s">
        <v>735</v>
      </c>
      <c r="J3">
        <v>5</v>
      </c>
      <c r="K3">
        <v>2</v>
      </c>
      <c r="L3" t="s">
        <v>736</v>
      </c>
      <c r="M3" s="8">
        <v>1775157</v>
      </c>
      <c r="N3">
        <v>72</v>
      </c>
      <c r="O3">
        <v>12</v>
      </c>
      <c r="P3">
        <f t="shared" si="0"/>
        <v>17</v>
      </c>
      <c r="Q3" t="str">
        <f t="shared" si="1"/>
        <v>Review Required</v>
      </c>
      <c r="R3" t="str">
        <f t="shared" si="2"/>
        <v>Yes</v>
      </c>
      <c r="S3" t="str">
        <f t="shared" si="3"/>
        <v>Escalate supplier readiness</v>
      </c>
    </row>
    <row r="4" spans="1:19" x14ac:dyDescent="0.35">
      <c r="A4" t="s">
        <v>737</v>
      </c>
      <c r="B4" s="5">
        <v>46258</v>
      </c>
      <c r="C4" t="s">
        <v>22</v>
      </c>
      <c r="D4" t="s">
        <v>31</v>
      </c>
      <c r="E4" t="s">
        <v>38</v>
      </c>
      <c r="F4" t="s">
        <v>48</v>
      </c>
      <c r="G4" t="s">
        <v>730</v>
      </c>
      <c r="H4" t="s">
        <v>731</v>
      </c>
      <c r="I4" t="s">
        <v>732</v>
      </c>
      <c r="J4">
        <v>2</v>
      </c>
      <c r="K4">
        <v>1</v>
      </c>
      <c r="L4" t="s">
        <v>733</v>
      </c>
      <c r="M4" s="8">
        <v>288041</v>
      </c>
      <c r="N4">
        <v>54</v>
      </c>
      <c r="O4">
        <v>12</v>
      </c>
      <c r="P4">
        <f t="shared" si="0"/>
        <v>2</v>
      </c>
      <c r="Q4" t="str">
        <f t="shared" si="1"/>
        <v>Monitor</v>
      </c>
      <c r="R4" t="str">
        <f t="shared" si="2"/>
        <v>No</v>
      </c>
      <c r="S4" t="str">
        <f t="shared" si="3"/>
        <v>Continue monitoring</v>
      </c>
    </row>
    <row r="5" spans="1:19" x14ac:dyDescent="0.35">
      <c r="A5" t="s">
        <v>738</v>
      </c>
      <c r="B5" s="5">
        <v>46297</v>
      </c>
      <c r="C5" t="s">
        <v>25</v>
      </c>
      <c r="D5" t="s">
        <v>29</v>
      </c>
      <c r="E5" t="s">
        <v>39</v>
      </c>
      <c r="F5" t="s">
        <v>42</v>
      </c>
      <c r="G5" t="s">
        <v>739</v>
      </c>
      <c r="H5" t="s">
        <v>96</v>
      </c>
      <c r="I5" t="s">
        <v>732</v>
      </c>
      <c r="J5">
        <v>1</v>
      </c>
      <c r="K5">
        <v>4</v>
      </c>
      <c r="L5" t="s">
        <v>733</v>
      </c>
      <c r="M5" s="8">
        <v>354682</v>
      </c>
      <c r="N5">
        <v>6</v>
      </c>
      <c r="O5">
        <v>12</v>
      </c>
      <c r="P5">
        <f t="shared" si="0"/>
        <v>11</v>
      </c>
      <c r="Q5" t="str">
        <f t="shared" si="1"/>
        <v>Approaching Review</v>
      </c>
      <c r="R5" t="str">
        <f t="shared" si="2"/>
        <v>No</v>
      </c>
      <c r="S5" t="str">
        <f t="shared" si="3"/>
        <v>Review defect trend and containment</v>
      </c>
    </row>
    <row r="6" spans="1:19" x14ac:dyDescent="0.35">
      <c r="A6" t="s">
        <v>740</v>
      </c>
      <c r="B6" s="5">
        <v>46255</v>
      </c>
      <c r="C6" t="s">
        <v>20</v>
      </c>
      <c r="D6" t="s">
        <v>32</v>
      </c>
      <c r="E6" t="s">
        <v>40</v>
      </c>
      <c r="F6" t="s">
        <v>42</v>
      </c>
      <c r="G6" t="s">
        <v>730</v>
      </c>
      <c r="H6" t="s">
        <v>731</v>
      </c>
      <c r="I6" t="s">
        <v>735</v>
      </c>
      <c r="J6">
        <v>5</v>
      </c>
      <c r="K6">
        <v>4</v>
      </c>
      <c r="L6" t="s">
        <v>733</v>
      </c>
      <c r="M6" s="8">
        <v>599934</v>
      </c>
      <c r="N6">
        <v>20</v>
      </c>
      <c r="O6">
        <v>12</v>
      </c>
      <c r="P6">
        <f t="shared" si="0"/>
        <v>25</v>
      </c>
      <c r="Q6" t="str">
        <f t="shared" si="1"/>
        <v>Review Required</v>
      </c>
      <c r="R6" t="str">
        <f t="shared" si="2"/>
        <v>Yes</v>
      </c>
      <c r="S6" t="str">
        <f t="shared" si="3"/>
        <v>Escalate supplier readiness</v>
      </c>
    </row>
    <row r="7" spans="1:19" x14ac:dyDescent="0.35">
      <c r="A7" t="s">
        <v>741</v>
      </c>
      <c r="B7" s="5">
        <v>46232</v>
      </c>
      <c r="C7" t="s">
        <v>20</v>
      </c>
      <c r="D7" t="s">
        <v>31</v>
      </c>
      <c r="E7" t="s">
        <v>36</v>
      </c>
      <c r="F7" t="s">
        <v>45</v>
      </c>
      <c r="G7" t="s">
        <v>742</v>
      </c>
      <c r="H7" t="s">
        <v>731</v>
      </c>
      <c r="I7" t="s">
        <v>732</v>
      </c>
      <c r="J7">
        <v>1</v>
      </c>
      <c r="K7">
        <v>4</v>
      </c>
      <c r="L7" t="s">
        <v>743</v>
      </c>
      <c r="M7" s="8">
        <v>1912593</v>
      </c>
      <c r="N7">
        <v>21</v>
      </c>
      <c r="O7">
        <v>12</v>
      </c>
      <c r="P7">
        <f t="shared" si="0"/>
        <v>4</v>
      </c>
      <c r="Q7" t="str">
        <f t="shared" si="1"/>
        <v>Monitor</v>
      </c>
      <c r="R7" t="str">
        <f t="shared" si="2"/>
        <v>No</v>
      </c>
      <c r="S7" t="str">
        <f t="shared" si="3"/>
        <v>Continue monitoring</v>
      </c>
    </row>
    <row r="8" spans="1:19" x14ac:dyDescent="0.35">
      <c r="A8" t="s">
        <v>744</v>
      </c>
      <c r="B8" s="5">
        <v>46225</v>
      </c>
      <c r="C8" t="s">
        <v>20</v>
      </c>
      <c r="D8" t="s">
        <v>30</v>
      </c>
      <c r="E8" t="s">
        <v>38</v>
      </c>
      <c r="F8" t="s">
        <v>47</v>
      </c>
      <c r="G8" t="s">
        <v>742</v>
      </c>
      <c r="H8" t="s">
        <v>731</v>
      </c>
      <c r="I8" t="s">
        <v>732</v>
      </c>
      <c r="J8">
        <v>2</v>
      </c>
      <c r="K8">
        <v>2</v>
      </c>
      <c r="L8" t="s">
        <v>745</v>
      </c>
      <c r="M8" s="8">
        <v>297609</v>
      </c>
      <c r="N8">
        <v>14</v>
      </c>
      <c r="O8">
        <v>12</v>
      </c>
      <c r="P8">
        <f t="shared" si="0"/>
        <v>4</v>
      </c>
      <c r="Q8" t="str">
        <f t="shared" si="1"/>
        <v>Monitor</v>
      </c>
      <c r="R8" t="str">
        <f t="shared" si="2"/>
        <v>Yes</v>
      </c>
      <c r="S8" t="str">
        <f t="shared" si="3"/>
        <v>Continue monitoring</v>
      </c>
    </row>
    <row r="9" spans="1:19" x14ac:dyDescent="0.35">
      <c r="A9" t="s">
        <v>746</v>
      </c>
      <c r="B9" s="5">
        <v>46285</v>
      </c>
      <c r="C9" t="s">
        <v>22</v>
      </c>
      <c r="D9" t="s">
        <v>29</v>
      </c>
      <c r="E9" t="s">
        <v>37</v>
      </c>
      <c r="F9" t="s">
        <v>48</v>
      </c>
      <c r="G9" t="s">
        <v>730</v>
      </c>
      <c r="H9" t="s">
        <v>731</v>
      </c>
      <c r="I9" t="s">
        <v>747</v>
      </c>
      <c r="J9">
        <v>1</v>
      </c>
      <c r="K9">
        <v>4</v>
      </c>
      <c r="L9" t="s">
        <v>736</v>
      </c>
      <c r="M9" s="8">
        <v>1911259</v>
      </c>
      <c r="N9">
        <v>47</v>
      </c>
      <c r="O9">
        <v>12</v>
      </c>
      <c r="P9">
        <f t="shared" si="0"/>
        <v>6</v>
      </c>
      <c r="Q9" t="str">
        <f t="shared" si="1"/>
        <v>Monitor</v>
      </c>
      <c r="R9" t="str">
        <f t="shared" si="2"/>
        <v>No</v>
      </c>
      <c r="S9" t="str">
        <f t="shared" si="3"/>
        <v>Continue monitoring</v>
      </c>
    </row>
    <row r="10" spans="1:19" x14ac:dyDescent="0.35">
      <c r="A10" t="s">
        <v>748</v>
      </c>
      <c r="B10" s="5">
        <v>46037</v>
      </c>
      <c r="C10" t="s">
        <v>23</v>
      </c>
      <c r="D10" t="s">
        <v>30</v>
      </c>
      <c r="E10" t="s">
        <v>39</v>
      </c>
      <c r="F10" t="s">
        <v>44</v>
      </c>
      <c r="G10" t="s">
        <v>730</v>
      </c>
      <c r="H10" t="s">
        <v>731</v>
      </c>
      <c r="I10" t="s">
        <v>735</v>
      </c>
      <c r="J10">
        <v>3</v>
      </c>
      <c r="K10">
        <v>4</v>
      </c>
      <c r="L10" t="s">
        <v>736</v>
      </c>
      <c r="M10" s="8">
        <v>206747</v>
      </c>
      <c r="N10">
        <v>69</v>
      </c>
      <c r="O10">
        <v>12</v>
      </c>
      <c r="P10">
        <f t="shared" si="0"/>
        <v>17</v>
      </c>
      <c r="Q10" t="str">
        <f t="shared" si="1"/>
        <v>Review Required</v>
      </c>
      <c r="R10" t="str">
        <f t="shared" si="2"/>
        <v>Yes</v>
      </c>
      <c r="S10" t="str">
        <f t="shared" si="3"/>
        <v>Escalate supplier readiness</v>
      </c>
    </row>
    <row r="11" spans="1:19" x14ac:dyDescent="0.35">
      <c r="A11" t="s">
        <v>749</v>
      </c>
      <c r="B11" s="5">
        <v>46274</v>
      </c>
      <c r="C11" t="s">
        <v>25</v>
      </c>
      <c r="D11" t="s">
        <v>27</v>
      </c>
      <c r="E11" t="s">
        <v>36</v>
      </c>
      <c r="F11" t="s">
        <v>46</v>
      </c>
      <c r="G11" t="s">
        <v>742</v>
      </c>
      <c r="H11" t="s">
        <v>96</v>
      </c>
      <c r="I11" t="s">
        <v>732</v>
      </c>
      <c r="J11">
        <v>3</v>
      </c>
      <c r="K11">
        <v>1</v>
      </c>
      <c r="L11" t="s">
        <v>745</v>
      </c>
      <c r="M11" s="8">
        <v>1300039</v>
      </c>
      <c r="N11">
        <v>49</v>
      </c>
      <c r="O11">
        <v>12</v>
      </c>
      <c r="P11">
        <f t="shared" si="0"/>
        <v>5</v>
      </c>
      <c r="Q11" t="str">
        <f t="shared" si="1"/>
        <v>Monitor</v>
      </c>
      <c r="R11" t="str">
        <f t="shared" si="2"/>
        <v>Yes</v>
      </c>
      <c r="S11" t="str">
        <f t="shared" si="3"/>
        <v>Continue monitoring</v>
      </c>
    </row>
    <row r="12" spans="1:19" x14ac:dyDescent="0.35">
      <c r="A12" t="s">
        <v>750</v>
      </c>
      <c r="B12" s="5">
        <v>46221</v>
      </c>
      <c r="C12" t="s">
        <v>25</v>
      </c>
      <c r="D12" t="s">
        <v>32</v>
      </c>
      <c r="E12" t="s">
        <v>36</v>
      </c>
      <c r="F12" t="s">
        <v>44</v>
      </c>
      <c r="G12" t="s">
        <v>730</v>
      </c>
      <c r="H12" t="s">
        <v>731</v>
      </c>
      <c r="I12" t="s">
        <v>747</v>
      </c>
      <c r="J12">
        <v>5</v>
      </c>
      <c r="K12">
        <v>3</v>
      </c>
      <c r="L12" t="s">
        <v>733</v>
      </c>
      <c r="M12" s="8">
        <v>1211303</v>
      </c>
      <c r="N12">
        <v>29</v>
      </c>
      <c r="O12">
        <v>12</v>
      </c>
      <c r="P12">
        <f t="shared" si="0"/>
        <v>17</v>
      </c>
      <c r="Q12" t="str">
        <f t="shared" si="1"/>
        <v>Review Required</v>
      </c>
      <c r="R12" t="str">
        <f t="shared" si="2"/>
        <v>Yes</v>
      </c>
      <c r="S12" t="str">
        <f t="shared" si="3"/>
        <v>Continue monitoring</v>
      </c>
    </row>
    <row r="13" spans="1:19" x14ac:dyDescent="0.35">
      <c r="A13" t="s">
        <v>751</v>
      </c>
      <c r="B13" s="5">
        <v>46244</v>
      </c>
      <c r="C13" t="s">
        <v>22</v>
      </c>
      <c r="D13" t="s">
        <v>30</v>
      </c>
      <c r="E13" t="s">
        <v>34</v>
      </c>
      <c r="F13" t="s">
        <v>44</v>
      </c>
      <c r="G13" t="s">
        <v>730</v>
      </c>
      <c r="H13" t="s">
        <v>731</v>
      </c>
      <c r="I13" t="s">
        <v>732</v>
      </c>
      <c r="J13">
        <v>4</v>
      </c>
      <c r="K13">
        <v>1</v>
      </c>
      <c r="L13" t="s">
        <v>745</v>
      </c>
      <c r="M13" s="8">
        <v>863384</v>
      </c>
      <c r="N13">
        <v>23</v>
      </c>
      <c r="O13">
        <v>12</v>
      </c>
      <c r="P13">
        <f t="shared" si="0"/>
        <v>4</v>
      </c>
      <c r="Q13" t="str">
        <f t="shared" si="1"/>
        <v>Monitor</v>
      </c>
      <c r="R13" t="str">
        <f t="shared" si="2"/>
        <v>Yes</v>
      </c>
      <c r="S13" t="str">
        <f t="shared" si="3"/>
        <v>Continue monitoring</v>
      </c>
    </row>
    <row r="14" spans="1:19" x14ac:dyDescent="0.35">
      <c r="A14" t="s">
        <v>752</v>
      </c>
      <c r="B14" s="5">
        <v>46192</v>
      </c>
      <c r="C14" t="s">
        <v>22</v>
      </c>
      <c r="D14" t="s">
        <v>29</v>
      </c>
      <c r="E14" t="s">
        <v>38</v>
      </c>
      <c r="F14" t="s">
        <v>48</v>
      </c>
      <c r="G14" t="s">
        <v>742</v>
      </c>
      <c r="H14" t="s">
        <v>731</v>
      </c>
      <c r="I14" t="s">
        <v>732</v>
      </c>
      <c r="J14">
        <v>2</v>
      </c>
      <c r="K14">
        <v>5</v>
      </c>
      <c r="L14" t="s">
        <v>743</v>
      </c>
      <c r="M14" s="8">
        <v>1725739</v>
      </c>
      <c r="N14">
        <v>53</v>
      </c>
      <c r="O14">
        <v>12</v>
      </c>
      <c r="P14">
        <f t="shared" si="0"/>
        <v>10</v>
      </c>
      <c r="Q14" t="str">
        <f t="shared" si="1"/>
        <v>Approaching Review</v>
      </c>
      <c r="R14" t="str">
        <f t="shared" si="2"/>
        <v>No</v>
      </c>
      <c r="S14" t="str">
        <f t="shared" si="3"/>
        <v>Continue monitoring</v>
      </c>
    </row>
    <row r="15" spans="1:19" x14ac:dyDescent="0.35">
      <c r="A15" t="s">
        <v>753</v>
      </c>
      <c r="B15" s="5">
        <v>46267</v>
      </c>
      <c r="C15" t="s">
        <v>23</v>
      </c>
      <c r="D15" t="s">
        <v>29</v>
      </c>
      <c r="E15" t="s">
        <v>38</v>
      </c>
      <c r="F15" t="s">
        <v>42</v>
      </c>
      <c r="G15" t="s">
        <v>739</v>
      </c>
      <c r="H15" t="s">
        <v>731</v>
      </c>
      <c r="I15" t="s">
        <v>732</v>
      </c>
      <c r="J15">
        <v>3</v>
      </c>
      <c r="K15">
        <v>5</v>
      </c>
      <c r="L15" t="s">
        <v>736</v>
      </c>
      <c r="M15" s="8">
        <v>2237337</v>
      </c>
      <c r="N15">
        <v>40</v>
      </c>
      <c r="O15">
        <v>12</v>
      </c>
      <c r="P15">
        <f t="shared" si="0"/>
        <v>20</v>
      </c>
      <c r="Q15" t="str">
        <f t="shared" si="1"/>
        <v>Review Required</v>
      </c>
      <c r="R15" t="str">
        <f t="shared" si="2"/>
        <v>Yes</v>
      </c>
      <c r="S15" t="str">
        <f t="shared" si="3"/>
        <v>Review defect trend and containment</v>
      </c>
    </row>
    <row r="16" spans="1:19" x14ac:dyDescent="0.35">
      <c r="A16" t="s">
        <v>754</v>
      </c>
      <c r="B16" s="5">
        <v>46107</v>
      </c>
      <c r="C16" t="s">
        <v>24</v>
      </c>
      <c r="D16" t="s">
        <v>27</v>
      </c>
      <c r="E16" t="s">
        <v>34</v>
      </c>
      <c r="F16" t="s">
        <v>47</v>
      </c>
      <c r="G16" t="s">
        <v>730</v>
      </c>
      <c r="H16" t="s">
        <v>731</v>
      </c>
      <c r="I16" t="s">
        <v>747</v>
      </c>
      <c r="J16">
        <v>4</v>
      </c>
      <c r="K16">
        <v>1</v>
      </c>
      <c r="L16" t="s">
        <v>745</v>
      </c>
      <c r="M16" s="8">
        <v>834701</v>
      </c>
      <c r="N16">
        <v>45</v>
      </c>
      <c r="O16">
        <v>12</v>
      </c>
      <c r="P16">
        <f t="shared" si="0"/>
        <v>6</v>
      </c>
      <c r="Q16" t="str">
        <f t="shared" si="1"/>
        <v>Monitor</v>
      </c>
      <c r="R16" t="str">
        <f t="shared" si="2"/>
        <v>Yes</v>
      </c>
      <c r="S16" t="str">
        <f t="shared" si="3"/>
        <v>Continue monitoring</v>
      </c>
    </row>
    <row r="17" spans="1:19" x14ac:dyDescent="0.35">
      <c r="A17" t="s">
        <v>755</v>
      </c>
      <c r="B17" s="5">
        <v>46034</v>
      </c>
      <c r="C17" t="s">
        <v>22</v>
      </c>
      <c r="D17" t="s">
        <v>31</v>
      </c>
      <c r="E17" t="s">
        <v>36</v>
      </c>
      <c r="F17" t="s">
        <v>47</v>
      </c>
      <c r="G17" t="s">
        <v>742</v>
      </c>
      <c r="H17" t="s">
        <v>731</v>
      </c>
      <c r="I17" t="s">
        <v>732</v>
      </c>
      <c r="J17">
        <v>3</v>
      </c>
      <c r="K17">
        <v>3</v>
      </c>
      <c r="L17" t="s">
        <v>743</v>
      </c>
      <c r="M17" s="8">
        <v>2012368</v>
      </c>
      <c r="N17">
        <v>49</v>
      </c>
      <c r="O17">
        <v>12</v>
      </c>
      <c r="P17">
        <f t="shared" si="0"/>
        <v>9</v>
      </c>
      <c r="Q17" t="str">
        <f t="shared" si="1"/>
        <v>Approaching Review</v>
      </c>
      <c r="R17" t="str">
        <f t="shared" si="2"/>
        <v>No</v>
      </c>
      <c r="S17" t="str">
        <f t="shared" si="3"/>
        <v>Continue monitoring</v>
      </c>
    </row>
    <row r="18" spans="1:19" x14ac:dyDescent="0.35">
      <c r="A18" t="s">
        <v>756</v>
      </c>
      <c r="B18" s="5">
        <v>46267</v>
      </c>
      <c r="C18" t="s">
        <v>23</v>
      </c>
      <c r="D18" t="s">
        <v>27</v>
      </c>
      <c r="E18" t="s">
        <v>40</v>
      </c>
      <c r="F18" t="s">
        <v>44</v>
      </c>
      <c r="G18" t="s">
        <v>739</v>
      </c>
      <c r="H18" t="s">
        <v>96</v>
      </c>
      <c r="I18" t="s">
        <v>732</v>
      </c>
      <c r="J18">
        <v>1</v>
      </c>
      <c r="K18">
        <v>3</v>
      </c>
      <c r="L18" t="s">
        <v>733</v>
      </c>
      <c r="M18" s="8">
        <v>2270715</v>
      </c>
      <c r="N18">
        <v>23</v>
      </c>
      <c r="O18">
        <v>12</v>
      </c>
      <c r="P18">
        <f t="shared" si="0"/>
        <v>10</v>
      </c>
      <c r="Q18" t="str">
        <f t="shared" si="1"/>
        <v>Approaching Review</v>
      </c>
      <c r="R18" t="str">
        <f t="shared" si="2"/>
        <v>No</v>
      </c>
      <c r="S18" t="str">
        <f t="shared" si="3"/>
        <v>Review defect trend and containment</v>
      </c>
    </row>
    <row r="19" spans="1:19" x14ac:dyDescent="0.35">
      <c r="A19" t="s">
        <v>757</v>
      </c>
      <c r="B19" s="5">
        <v>46034</v>
      </c>
      <c r="C19" t="s">
        <v>24</v>
      </c>
      <c r="D19" t="s">
        <v>31</v>
      </c>
      <c r="E19" t="s">
        <v>36</v>
      </c>
      <c r="F19" t="s">
        <v>47</v>
      </c>
      <c r="G19" t="s">
        <v>742</v>
      </c>
      <c r="H19" t="s">
        <v>731</v>
      </c>
      <c r="I19" t="s">
        <v>732</v>
      </c>
      <c r="J19">
        <v>2</v>
      </c>
      <c r="K19">
        <v>3</v>
      </c>
      <c r="L19" t="s">
        <v>733</v>
      </c>
      <c r="M19" s="8">
        <v>1673354</v>
      </c>
      <c r="N19">
        <v>6</v>
      </c>
      <c r="O19">
        <v>12</v>
      </c>
      <c r="P19">
        <f t="shared" si="0"/>
        <v>6</v>
      </c>
      <c r="Q19" t="str">
        <f t="shared" si="1"/>
        <v>Monitor</v>
      </c>
      <c r="R19" t="str">
        <f t="shared" si="2"/>
        <v>No</v>
      </c>
      <c r="S19" t="str">
        <f t="shared" si="3"/>
        <v>Continue monitoring</v>
      </c>
    </row>
    <row r="20" spans="1:19" x14ac:dyDescent="0.35">
      <c r="A20" t="s">
        <v>758</v>
      </c>
      <c r="B20" s="5">
        <v>46229</v>
      </c>
      <c r="C20" t="s">
        <v>25</v>
      </c>
      <c r="D20" t="s">
        <v>29</v>
      </c>
      <c r="E20" t="s">
        <v>37</v>
      </c>
      <c r="F20" t="s">
        <v>47</v>
      </c>
      <c r="G20" t="s">
        <v>739</v>
      </c>
      <c r="H20" t="s">
        <v>96</v>
      </c>
      <c r="I20" t="s">
        <v>732</v>
      </c>
      <c r="J20">
        <v>1</v>
      </c>
      <c r="K20">
        <v>3</v>
      </c>
      <c r="L20" t="s">
        <v>745</v>
      </c>
      <c r="M20" s="8">
        <v>2393006</v>
      </c>
      <c r="N20">
        <v>49</v>
      </c>
      <c r="O20">
        <v>12</v>
      </c>
      <c r="P20">
        <f t="shared" si="0"/>
        <v>10</v>
      </c>
      <c r="Q20" t="str">
        <f t="shared" si="1"/>
        <v>Approaching Review</v>
      </c>
      <c r="R20" t="str">
        <f t="shared" si="2"/>
        <v>Yes</v>
      </c>
      <c r="S20" t="str">
        <f t="shared" si="3"/>
        <v>Review defect trend and containment</v>
      </c>
    </row>
    <row r="21" spans="1:19" x14ac:dyDescent="0.35">
      <c r="A21" t="s">
        <v>759</v>
      </c>
      <c r="B21" s="5">
        <v>46131</v>
      </c>
      <c r="C21" t="s">
        <v>25</v>
      </c>
      <c r="D21" t="s">
        <v>27</v>
      </c>
      <c r="E21" t="s">
        <v>39</v>
      </c>
      <c r="F21" t="s">
        <v>44</v>
      </c>
      <c r="G21" t="s">
        <v>742</v>
      </c>
      <c r="H21" t="s">
        <v>731</v>
      </c>
      <c r="I21" t="s">
        <v>732</v>
      </c>
      <c r="J21">
        <v>4</v>
      </c>
      <c r="K21">
        <v>4</v>
      </c>
      <c r="L21" t="s">
        <v>743</v>
      </c>
      <c r="M21" s="8">
        <v>1890736</v>
      </c>
      <c r="N21">
        <v>7</v>
      </c>
      <c r="O21">
        <v>12</v>
      </c>
      <c r="P21">
        <f t="shared" si="0"/>
        <v>16</v>
      </c>
      <c r="Q21" t="str">
        <f t="shared" si="1"/>
        <v>Review Required</v>
      </c>
      <c r="R21" t="str">
        <f t="shared" si="2"/>
        <v>Yes</v>
      </c>
      <c r="S21" t="str">
        <f t="shared" si="3"/>
        <v>Continue monitoring</v>
      </c>
    </row>
    <row r="22" spans="1:19" x14ac:dyDescent="0.35">
      <c r="A22" t="s">
        <v>760</v>
      </c>
      <c r="B22" s="5">
        <v>46242</v>
      </c>
      <c r="C22" t="s">
        <v>24</v>
      </c>
      <c r="D22" t="s">
        <v>27</v>
      </c>
      <c r="E22" t="s">
        <v>39</v>
      </c>
      <c r="F22" t="s">
        <v>46</v>
      </c>
      <c r="G22" t="s">
        <v>730</v>
      </c>
      <c r="H22" t="s">
        <v>731</v>
      </c>
      <c r="I22" t="s">
        <v>735</v>
      </c>
      <c r="J22">
        <v>1</v>
      </c>
      <c r="K22">
        <v>2</v>
      </c>
      <c r="L22" t="s">
        <v>745</v>
      </c>
      <c r="M22" s="8">
        <v>1818476</v>
      </c>
      <c r="N22">
        <v>25</v>
      </c>
      <c r="O22">
        <v>12</v>
      </c>
      <c r="P22">
        <f t="shared" si="0"/>
        <v>7</v>
      </c>
      <c r="Q22" t="str">
        <f t="shared" si="1"/>
        <v>Monitor</v>
      </c>
      <c r="R22" t="str">
        <f t="shared" si="2"/>
        <v>Yes</v>
      </c>
      <c r="S22" t="str">
        <f t="shared" si="3"/>
        <v>Escalate supplier readiness</v>
      </c>
    </row>
    <row r="23" spans="1:19" x14ac:dyDescent="0.35">
      <c r="A23" t="s">
        <v>761</v>
      </c>
      <c r="B23" s="5">
        <v>46173</v>
      </c>
      <c r="C23" t="s">
        <v>23</v>
      </c>
      <c r="D23" t="s">
        <v>32</v>
      </c>
      <c r="E23" t="s">
        <v>37</v>
      </c>
      <c r="F23" t="s">
        <v>47</v>
      </c>
      <c r="G23" t="s">
        <v>739</v>
      </c>
      <c r="H23" t="s">
        <v>96</v>
      </c>
      <c r="I23" t="s">
        <v>732</v>
      </c>
      <c r="J23">
        <v>3</v>
      </c>
      <c r="K23">
        <v>4</v>
      </c>
      <c r="L23" t="s">
        <v>743</v>
      </c>
      <c r="M23" s="8">
        <v>1245713</v>
      </c>
      <c r="N23">
        <v>74</v>
      </c>
      <c r="O23">
        <v>12</v>
      </c>
      <c r="P23">
        <f t="shared" si="0"/>
        <v>19</v>
      </c>
      <c r="Q23" t="str">
        <f t="shared" si="1"/>
        <v>Review Required</v>
      </c>
      <c r="R23" t="str">
        <f t="shared" si="2"/>
        <v>Yes</v>
      </c>
      <c r="S23" t="str">
        <f t="shared" si="3"/>
        <v>Review defect trend and containment</v>
      </c>
    </row>
    <row r="24" spans="1:19" x14ac:dyDescent="0.35">
      <c r="A24" t="s">
        <v>762</v>
      </c>
      <c r="B24" s="5">
        <v>46278</v>
      </c>
      <c r="C24" t="s">
        <v>20</v>
      </c>
      <c r="D24" t="s">
        <v>31</v>
      </c>
      <c r="E24" t="s">
        <v>39</v>
      </c>
      <c r="F24" t="s">
        <v>42</v>
      </c>
      <c r="G24" t="s">
        <v>739</v>
      </c>
      <c r="H24" t="s">
        <v>731</v>
      </c>
      <c r="I24" t="s">
        <v>747</v>
      </c>
      <c r="J24">
        <v>2</v>
      </c>
      <c r="K24">
        <v>4</v>
      </c>
      <c r="L24" t="s">
        <v>743</v>
      </c>
      <c r="M24" s="8">
        <v>1985721</v>
      </c>
      <c r="N24">
        <v>15</v>
      </c>
      <c r="O24">
        <v>12</v>
      </c>
      <c r="P24">
        <f t="shared" si="0"/>
        <v>15</v>
      </c>
      <c r="Q24" t="str">
        <f t="shared" si="1"/>
        <v>Review Required</v>
      </c>
      <c r="R24" t="str">
        <f t="shared" si="2"/>
        <v>Yes</v>
      </c>
      <c r="S24" t="str">
        <f t="shared" si="3"/>
        <v>Review defect trend and containment</v>
      </c>
    </row>
    <row r="25" spans="1:19" x14ac:dyDescent="0.35">
      <c r="A25" t="s">
        <v>763</v>
      </c>
      <c r="B25" s="5">
        <v>46226</v>
      </c>
      <c r="C25" t="s">
        <v>25</v>
      </c>
      <c r="D25" t="s">
        <v>30</v>
      </c>
      <c r="E25" t="s">
        <v>40</v>
      </c>
      <c r="F25" t="s">
        <v>44</v>
      </c>
      <c r="G25" t="s">
        <v>730</v>
      </c>
      <c r="H25" t="s">
        <v>96</v>
      </c>
      <c r="I25" t="s">
        <v>747</v>
      </c>
      <c r="J25">
        <v>1</v>
      </c>
      <c r="K25">
        <v>1</v>
      </c>
      <c r="L25" t="s">
        <v>743</v>
      </c>
      <c r="M25" s="8">
        <v>148828</v>
      </c>
      <c r="N25">
        <v>71</v>
      </c>
      <c r="O25">
        <v>12</v>
      </c>
      <c r="P25">
        <f t="shared" si="0"/>
        <v>5</v>
      </c>
      <c r="Q25" t="str">
        <f t="shared" si="1"/>
        <v>Monitor</v>
      </c>
      <c r="R25" t="str">
        <f t="shared" si="2"/>
        <v>No</v>
      </c>
      <c r="S25" t="str">
        <f t="shared" si="3"/>
        <v>Continue monitoring</v>
      </c>
    </row>
    <row r="26" spans="1:19" x14ac:dyDescent="0.35">
      <c r="A26" t="s">
        <v>764</v>
      </c>
      <c r="B26" s="5">
        <v>46265</v>
      </c>
      <c r="C26" t="s">
        <v>24</v>
      </c>
      <c r="D26" t="s">
        <v>30</v>
      </c>
      <c r="E26" t="s">
        <v>36</v>
      </c>
      <c r="F26" t="s">
        <v>42</v>
      </c>
      <c r="G26" t="s">
        <v>742</v>
      </c>
      <c r="H26" t="s">
        <v>731</v>
      </c>
      <c r="I26" t="s">
        <v>732</v>
      </c>
      <c r="J26">
        <v>2</v>
      </c>
      <c r="K26">
        <v>2</v>
      </c>
      <c r="L26" t="s">
        <v>745</v>
      </c>
      <c r="M26" s="8">
        <v>100941</v>
      </c>
      <c r="N26">
        <v>32</v>
      </c>
      <c r="O26">
        <v>12</v>
      </c>
      <c r="P26">
        <f t="shared" si="0"/>
        <v>4</v>
      </c>
      <c r="Q26" t="str">
        <f t="shared" si="1"/>
        <v>Monitor</v>
      </c>
      <c r="R26" t="str">
        <f t="shared" si="2"/>
        <v>Yes</v>
      </c>
      <c r="S26" t="str">
        <f t="shared" si="3"/>
        <v>Continue monitoring</v>
      </c>
    </row>
    <row r="27" spans="1:19" x14ac:dyDescent="0.35">
      <c r="A27" t="s">
        <v>765</v>
      </c>
      <c r="B27" s="5">
        <v>46256</v>
      </c>
      <c r="C27" t="s">
        <v>25</v>
      </c>
      <c r="D27" t="s">
        <v>31</v>
      </c>
      <c r="E27" t="s">
        <v>36</v>
      </c>
      <c r="F27" t="s">
        <v>48</v>
      </c>
      <c r="G27" t="s">
        <v>742</v>
      </c>
      <c r="H27" t="s">
        <v>731</v>
      </c>
      <c r="I27" t="s">
        <v>735</v>
      </c>
      <c r="J27">
        <v>5</v>
      </c>
      <c r="K27">
        <v>3</v>
      </c>
      <c r="L27" t="s">
        <v>743</v>
      </c>
      <c r="M27" s="8">
        <v>515597</v>
      </c>
      <c r="N27">
        <v>55</v>
      </c>
      <c r="O27">
        <v>12</v>
      </c>
      <c r="P27">
        <f t="shared" si="0"/>
        <v>20</v>
      </c>
      <c r="Q27" t="str">
        <f t="shared" si="1"/>
        <v>Review Required</v>
      </c>
      <c r="R27" t="str">
        <f t="shared" si="2"/>
        <v>Yes</v>
      </c>
      <c r="S27" t="str">
        <f t="shared" si="3"/>
        <v>Escalate supplier readiness</v>
      </c>
    </row>
    <row r="28" spans="1:19" x14ac:dyDescent="0.35">
      <c r="A28" t="s">
        <v>766</v>
      </c>
      <c r="B28" s="5">
        <v>46137</v>
      </c>
      <c r="C28" t="s">
        <v>22</v>
      </c>
      <c r="D28" t="s">
        <v>32</v>
      </c>
      <c r="E28" t="s">
        <v>40</v>
      </c>
      <c r="F28" t="s">
        <v>46</v>
      </c>
      <c r="G28" t="s">
        <v>730</v>
      </c>
      <c r="H28" t="s">
        <v>731</v>
      </c>
      <c r="I28" t="s">
        <v>732</v>
      </c>
      <c r="J28">
        <v>2</v>
      </c>
      <c r="K28">
        <v>3</v>
      </c>
      <c r="L28" t="s">
        <v>733</v>
      </c>
      <c r="M28" s="8">
        <v>36146</v>
      </c>
      <c r="N28">
        <v>66</v>
      </c>
      <c r="O28">
        <v>12</v>
      </c>
      <c r="P28">
        <f t="shared" si="0"/>
        <v>6</v>
      </c>
      <c r="Q28" t="str">
        <f t="shared" si="1"/>
        <v>Monitor</v>
      </c>
      <c r="R28" t="str">
        <f t="shared" si="2"/>
        <v>No</v>
      </c>
      <c r="S28" t="str">
        <f t="shared" si="3"/>
        <v>Continue monitoring</v>
      </c>
    </row>
    <row r="29" spans="1:19" x14ac:dyDescent="0.35">
      <c r="A29" t="s">
        <v>767</v>
      </c>
      <c r="B29" s="5">
        <v>46271</v>
      </c>
      <c r="C29" t="s">
        <v>20</v>
      </c>
      <c r="D29" t="s">
        <v>29</v>
      </c>
      <c r="E29" t="s">
        <v>36</v>
      </c>
      <c r="F29" t="s">
        <v>44</v>
      </c>
      <c r="G29" t="s">
        <v>742</v>
      </c>
      <c r="H29" t="s">
        <v>731</v>
      </c>
      <c r="I29" t="s">
        <v>732</v>
      </c>
      <c r="J29">
        <v>3</v>
      </c>
      <c r="K29">
        <v>4</v>
      </c>
      <c r="L29" t="s">
        <v>733</v>
      </c>
      <c r="M29" s="8">
        <v>1077724</v>
      </c>
      <c r="N29">
        <v>11</v>
      </c>
      <c r="O29">
        <v>12</v>
      </c>
      <c r="P29">
        <f t="shared" si="0"/>
        <v>12</v>
      </c>
      <c r="Q29" t="str">
        <f t="shared" si="1"/>
        <v>Review Required</v>
      </c>
      <c r="R29" t="str">
        <f t="shared" si="2"/>
        <v>Yes</v>
      </c>
      <c r="S29" t="str">
        <f t="shared" si="3"/>
        <v>Continue monitoring</v>
      </c>
    </row>
    <row r="30" spans="1:19" x14ac:dyDescent="0.35">
      <c r="A30" t="s">
        <v>768</v>
      </c>
      <c r="B30" s="5">
        <v>46129</v>
      </c>
      <c r="C30" t="s">
        <v>25</v>
      </c>
      <c r="D30" t="s">
        <v>29</v>
      </c>
      <c r="E30" t="s">
        <v>36</v>
      </c>
      <c r="F30" t="s">
        <v>45</v>
      </c>
      <c r="G30" t="s">
        <v>730</v>
      </c>
      <c r="H30" t="s">
        <v>731</v>
      </c>
      <c r="I30" t="s">
        <v>732</v>
      </c>
      <c r="J30">
        <v>1</v>
      </c>
      <c r="K30">
        <v>4</v>
      </c>
      <c r="L30" t="s">
        <v>743</v>
      </c>
      <c r="M30" s="8">
        <v>1513247</v>
      </c>
      <c r="N30">
        <v>24</v>
      </c>
      <c r="O30">
        <v>12</v>
      </c>
      <c r="P30">
        <f t="shared" si="0"/>
        <v>4</v>
      </c>
      <c r="Q30" t="str">
        <f t="shared" si="1"/>
        <v>Monitor</v>
      </c>
      <c r="R30" t="str">
        <f t="shared" si="2"/>
        <v>No</v>
      </c>
      <c r="S30" t="str">
        <f t="shared" si="3"/>
        <v>Continue monitoring</v>
      </c>
    </row>
    <row r="31" spans="1:19" x14ac:dyDescent="0.35">
      <c r="A31" t="s">
        <v>769</v>
      </c>
      <c r="B31" s="5">
        <v>46229</v>
      </c>
      <c r="C31" t="s">
        <v>23</v>
      </c>
      <c r="D31" t="s">
        <v>31</v>
      </c>
      <c r="E31" t="s">
        <v>39</v>
      </c>
      <c r="F31" t="s">
        <v>45</v>
      </c>
      <c r="G31" t="s">
        <v>742</v>
      </c>
      <c r="H31" t="s">
        <v>96</v>
      </c>
      <c r="I31" t="s">
        <v>735</v>
      </c>
      <c r="J31">
        <v>3</v>
      </c>
      <c r="K31">
        <v>4</v>
      </c>
      <c r="L31" t="s">
        <v>745</v>
      </c>
      <c r="M31" s="8">
        <v>593816</v>
      </c>
      <c r="N31">
        <v>24</v>
      </c>
      <c r="O31">
        <v>12</v>
      </c>
      <c r="P31">
        <f t="shared" si="0"/>
        <v>19</v>
      </c>
      <c r="Q31" t="str">
        <f t="shared" si="1"/>
        <v>Review Required</v>
      </c>
      <c r="R31" t="str">
        <f t="shared" si="2"/>
        <v>Yes</v>
      </c>
      <c r="S31" t="str">
        <f t="shared" si="3"/>
        <v>Escalate supplier readiness</v>
      </c>
    </row>
    <row r="32" spans="1:19" x14ac:dyDescent="0.35">
      <c r="A32" t="s">
        <v>770</v>
      </c>
      <c r="B32" s="5">
        <v>46076</v>
      </c>
      <c r="C32" t="s">
        <v>22</v>
      </c>
      <c r="D32" t="s">
        <v>29</v>
      </c>
      <c r="E32" t="s">
        <v>39</v>
      </c>
      <c r="F32" t="s">
        <v>42</v>
      </c>
      <c r="G32" t="s">
        <v>742</v>
      </c>
      <c r="H32" t="s">
        <v>731</v>
      </c>
      <c r="I32" t="s">
        <v>732</v>
      </c>
      <c r="J32">
        <v>4</v>
      </c>
      <c r="K32">
        <v>2</v>
      </c>
      <c r="L32" t="s">
        <v>733</v>
      </c>
      <c r="M32" s="8">
        <v>714575</v>
      </c>
      <c r="N32">
        <v>25</v>
      </c>
      <c r="O32">
        <v>12</v>
      </c>
      <c r="P32">
        <f t="shared" si="0"/>
        <v>8</v>
      </c>
      <c r="Q32" t="str">
        <f t="shared" si="1"/>
        <v>Monitor</v>
      </c>
      <c r="R32" t="str">
        <f t="shared" si="2"/>
        <v>No</v>
      </c>
      <c r="S32" t="str">
        <f t="shared" si="3"/>
        <v>Continue monitoring</v>
      </c>
    </row>
    <row r="33" spans="1:19" x14ac:dyDescent="0.35">
      <c r="A33" t="s">
        <v>771</v>
      </c>
      <c r="B33" s="5">
        <v>46160</v>
      </c>
      <c r="C33" t="s">
        <v>20</v>
      </c>
      <c r="D33" t="s">
        <v>32</v>
      </c>
      <c r="E33" t="s">
        <v>38</v>
      </c>
      <c r="F33" t="s">
        <v>46</v>
      </c>
      <c r="G33" t="s">
        <v>730</v>
      </c>
      <c r="H33" t="s">
        <v>731</v>
      </c>
      <c r="I33" t="s">
        <v>735</v>
      </c>
      <c r="J33">
        <v>4</v>
      </c>
      <c r="K33">
        <v>3</v>
      </c>
      <c r="L33" t="s">
        <v>743</v>
      </c>
      <c r="M33" s="8">
        <v>901914</v>
      </c>
      <c r="N33">
        <v>43</v>
      </c>
      <c r="O33">
        <v>12</v>
      </c>
      <c r="P33">
        <f t="shared" si="0"/>
        <v>17</v>
      </c>
      <c r="Q33" t="str">
        <f t="shared" si="1"/>
        <v>Review Required</v>
      </c>
      <c r="R33" t="str">
        <f t="shared" si="2"/>
        <v>Yes</v>
      </c>
      <c r="S33" t="str">
        <f t="shared" si="3"/>
        <v>Escalate supplier readiness</v>
      </c>
    </row>
    <row r="34" spans="1:19" x14ac:dyDescent="0.35">
      <c r="A34" t="s">
        <v>772</v>
      </c>
      <c r="B34" s="5">
        <v>46287</v>
      </c>
      <c r="C34" t="s">
        <v>25</v>
      </c>
      <c r="D34" t="s">
        <v>30</v>
      </c>
      <c r="E34" t="s">
        <v>39</v>
      </c>
      <c r="F34" t="s">
        <v>47</v>
      </c>
      <c r="G34" t="s">
        <v>730</v>
      </c>
      <c r="H34" t="s">
        <v>96</v>
      </c>
      <c r="I34" t="s">
        <v>735</v>
      </c>
      <c r="J34">
        <v>3</v>
      </c>
      <c r="K34">
        <v>3</v>
      </c>
      <c r="L34" t="s">
        <v>745</v>
      </c>
      <c r="M34" s="8">
        <v>941157</v>
      </c>
      <c r="N34">
        <v>56</v>
      </c>
      <c r="O34">
        <v>12</v>
      </c>
      <c r="P34">
        <f t="shared" si="0"/>
        <v>16</v>
      </c>
      <c r="Q34" t="str">
        <f t="shared" si="1"/>
        <v>Review Required</v>
      </c>
      <c r="R34" t="str">
        <f t="shared" si="2"/>
        <v>Yes</v>
      </c>
      <c r="S34" t="str">
        <f t="shared" si="3"/>
        <v>Escalate supplier readiness</v>
      </c>
    </row>
    <row r="35" spans="1:19" x14ac:dyDescent="0.35">
      <c r="A35" t="s">
        <v>773</v>
      </c>
      <c r="B35" s="5">
        <v>46164</v>
      </c>
      <c r="C35" t="s">
        <v>20</v>
      </c>
      <c r="D35" t="s">
        <v>27</v>
      </c>
      <c r="E35" t="s">
        <v>36</v>
      </c>
      <c r="F35" t="s">
        <v>44</v>
      </c>
      <c r="G35" t="s">
        <v>739</v>
      </c>
      <c r="H35" t="s">
        <v>731</v>
      </c>
      <c r="I35" t="s">
        <v>735</v>
      </c>
      <c r="J35">
        <v>5</v>
      </c>
      <c r="K35">
        <v>4</v>
      </c>
      <c r="L35" t="s">
        <v>733</v>
      </c>
      <c r="M35" s="8">
        <v>1277420</v>
      </c>
      <c r="N35">
        <v>5</v>
      </c>
      <c r="O35">
        <v>12</v>
      </c>
      <c r="P35">
        <f t="shared" si="0"/>
        <v>30</v>
      </c>
      <c r="Q35" t="str">
        <f t="shared" si="1"/>
        <v>Review Required</v>
      </c>
      <c r="R35" t="str">
        <f t="shared" si="2"/>
        <v>Yes</v>
      </c>
      <c r="S35" t="str">
        <f t="shared" si="3"/>
        <v>Review defect trend and containment</v>
      </c>
    </row>
    <row r="36" spans="1:19" x14ac:dyDescent="0.35">
      <c r="A36" t="s">
        <v>774</v>
      </c>
      <c r="B36" s="5">
        <v>46174</v>
      </c>
      <c r="C36" t="s">
        <v>20</v>
      </c>
      <c r="D36" t="s">
        <v>30</v>
      </c>
      <c r="E36" t="s">
        <v>34</v>
      </c>
      <c r="F36" t="s">
        <v>48</v>
      </c>
      <c r="G36" t="s">
        <v>742</v>
      </c>
      <c r="H36" t="s">
        <v>731</v>
      </c>
      <c r="I36" t="s">
        <v>732</v>
      </c>
      <c r="J36">
        <v>1</v>
      </c>
      <c r="K36">
        <v>4</v>
      </c>
      <c r="L36" t="s">
        <v>736</v>
      </c>
      <c r="M36" s="8">
        <v>2475804</v>
      </c>
      <c r="N36">
        <v>3</v>
      </c>
      <c r="O36">
        <v>12</v>
      </c>
      <c r="P36">
        <f t="shared" si="0"/>
        <v>4</v>
      </c>
      <c r="Q36" t="str">
        <f t="shared" si="1"/>
        <v>Monitor</v>
      </c>
      <c r="R36" t="str">
        <f t="shared" si="2"/>
        <v>No</v>
      </c>
      <c r="S36" t="str">
        <f t="shared" si="3"/>
        <v>Continue monitoring</v>
      </c>
    </row>
    <row r="37" spans="1:19" x14ac:dyDescent="0.35">
      <c r="A37" t="s">
        <v>775</v>
      </c>
      <c r="B37" s="5">
        <v>46170</v>
      </c>
      <c r="C37" t="s">
        <v>24</v>
      </c>
      <c r="D37" t="s">
        <v>31</v>
      </c>
      <c r="E37" t="s">
        <v>40</v>
      </c>
      <c r="F37" t="s">
        <v>46</v>
      </c>
      <c r="G37" t="s">
        <v>730</v>
      </c>
      <c r="H37" t="s">
        <v>731</v>
      </c>
      <c r="I37" t="s">
        <v>732</v>
      </c>
      <c r="J37">
        <v>5</v>
      </c>
      <c r="K37">
        <v>5</v>
      </c>
      <c r="L37" t="s">
        <v>733</v>
      </c>
      <c r="M37" s="8">
        <v>2030389</v>
      </c>
      <c r="N37">
        <v>13</v>
      </c>
      <c r="O37">
        <v>12</v>
      </c>
      <c r="P37">
        <f t="shared" si="0"/>
        <v>25</v>
      </c>
      <c r="Q37" t="str">
        <f t="shared" si="1"/>
        <v>Review Required</v>
      </c>
      <c r="R37" t="str">
        <f t="shared" si="2"/>
        <v>Yes</v>
      </c>
      <c r="S37" t="str">
        <f t="shared" si="3"/>
        <v>Continue monitoring</v>
      </c>
    </row>
    <row r="38" spans="1:19" x14ac:dyDescent="0.35">
      <c r="A38" t="s">
        <v>776</v>
      </c>
      <c r="B38" s="5">
        <v>46209</v>
      </c>
      <c r="C38" t="s">
        <v>25</v>
      </c>
      <c r="D38" t="s">
        <v>32</v>
      </c>
      <c r="E38" t="s">
        <v>38</v>
      </c>
      <c r="F38" t="s">
        <v>48</v>
      </c>
      <c r="G38" t="s">
        <v>742</v>
      </c>
      <c r="H38" t="s">
        <v>96</v>
      </c>
      <c r="I38" t="s">
        <v>732</v>
      </c>
      <c r="J38">
        <v>2</v>
      </c>
      <c r="K38">
        <v>1</v>
      </c>
      <c r="L38" t="s">
        <v>743</v>
      </c>
      <c r="M38" s="8">
        <v>154801</v>
      </c>
      <c r="N38">
        <v>53</v>
      </c>
      <c r="O38">
        <v>12</v>
      </c>
      <c r="P38">
        <f t="shared" si="0"/>
        <v>4</v>
      </c>
      <c r="Q38" t="str">
        <f t="shared" si="1"/>
        <v>Monitor</v>
      </c>
      <c r="R38" t="str">
        <f t="shared" si="2"/>
        <v>No</v>
      </c>
      <c r="S38" t="str">
        <f t="shared" si="3"/>
        <v>Continue monitoring</v>
      </c>
    </row>
    <row r="39" spans="1:19" x14ac:dyDescent="0.35">
      <c r="A39" t="s">
        <v>777</v>
      </c>
      <c r="B39" s="5">
        <v>46060</v>
      </c>
      <c r="C39" t="s">
        <v>20</v>
      </c>
      <c r="D39" t="s">
        <v>29</v>
      </c>
      <c r="E39" t="s">
        <v>36</v>
      </c>
      <c r="F39" t="s">
        <v>44</v>
      </c>
      <c r="G39" t="s">
        <v>739</v>
      </c>
      <c r="H39" t="s">
        <v>731</v>
      </c>
      <c r="I39" t="s">
        <v>735</v>
      </c>
      <c r="J39">
        <v>3</v>
      </c>
      <c r="K39">
        <v>4</v>
      </c>
      <c r="L39" t="s">
        <v>733</v>
      </c>
      <c r="M39" s="8">
        <v>2103800</v>
      </c>
      <c r="N39">
        <v>2</v>
      </c>
      <c r="O39">
        <v>12</v>
      </c>
      <c r="P39">
        <f t="shared" si="0"/>
        <v>22</v>
      </c>
      <c r="Q39" t="str">
        <f t="shared" si="1"/>
        <v>Review Required</v>
      </c>
      <c r="R39" t="str">
        <f t="shared" si="2"/>
        <v>Yes</v>
      </c>
      <c r="S39" t="str">
        <f t="shared" si="3"/>
        <v>Review defect trend and containment</v>
      </c>
    </row>
    <row r="40" spans="1:19" x14ac:dyDescent="0.35">
      <c r="A40" t="s">
        <v>778</v>
      </c>
      <c r="B40" s="5">
        <v>46057</v>
      </c>
      <c r="C40" t="s">
        <v>24</v>
      </c>
      <c r="D40" t="s">
        <v>30</v>
      </c>
      <c r="E40" t="s">
        <v>39</v>
      </c>
      <c r="F40" t="s">
        <v>45</v>
      </c>
      <c r="G40" t="s">
        <v>739</v>
      </c>
      <c r="H40" t="s">
        <v>96</v>
      </c>
      <c r="I40" t="s">
        <v>732</v>
      </c>
      <c r="J40">
        <v>4</v>
      </c>
      <c r="K40">
        <v>4</v>
      </c>
      <c r="L40" t="s">
        <v>743</v>
      </c>
      <c r="M40" s="8">
        <v>454135</v>
      </c>
      <c r="N40">
        <v>66</v>
      </c>
      <c r="O40">
        <v>12</v>
      </c>
      <c r="P40">
        <f t="shared" si="0"/>
        <v>23</v>
      </c>
      <c r="Q40" t="str">
        <f t="shared" si="1"/>
        <v>Review Required</v>
      </c>
      <c r="R40" t="str">
        <f t="shared" si="2"/>
        <v>Yes</v>
      </c>
      <c r="S40" t="str">
        <f t="shared" si="3"/>
        <v>Review defect trend and containment</v>
      </c>
    </row>
    <row r="41" spans="1:19" x14ac:dyDescent="0.35">
      <c r="A41" t="s">
        <v>779</v>
      </c>
      <c r="B41" s="5">
        <v>46090</v>
      </c>
      <c r="C41" t="s">
        <v>24</v>
      </c>
      <c r="D41" t="s">
        <v>30</v>
      </c>
      <c r="E41" t="s">
        <v>39</v>
      </c>
      <c r="F41" t="s">
        <v>45</v>
      </c>
      <c r="G41" t="s">
        <v>730</v>
      </c>
      <c r="H41" t="s">
        <v>731</v>
      </c>
      <c r="I41" t="s">
        <v>735</v>
      </c>
      <c r="J41">
        <v>1</v>
      </c>
      <c r="K41">
        <v>4</v>
      </c>
      <c r="L41" t="s">
        <v>743</v>
      </c>
      <c r="M41" s="8">
        <v>69236</v>
      </c>
      <c r="N41">
        <v>65</v>
      </c>
      <c r="O41">
        <v>12</v>
      </c>
      <c r="P41">
        <f t="shared" si="0"/>
        <v>9</v>
      </c>
      <c r="Q41" t="str">
        <f t="shared" si="1"/>
        <v>Approaching Review</v>
      </c>
      <c r="R41" t="str">
        <f t="shared" si="2"/>
        <v>No</v>
      </c>
      <c r="S41" t="str">
        <f t="shared" si="3"/>
        <v>Escalate supplier readiness</v>
      </c>
    </row>
    <row r="42" spans="1:19" x14ac:dyDescent="0.35">
      <c r="A42" t="s">
        <v>780</v>
      </c>
      <c r="B42" s="5">
        <v>46255</v>
      </c>
      <c r="C42" t="s">
        <v>20</v>
      </c>
      <c r="D42" t="s">
        <v>29</v>
      </c>
      <c r="E42" t="s">
        <v>38</v>
      </c>
      <c r="F42" t="s">
        <v>45</v>
      </c>
      <c r="G42" t="s">
        <v>742</v>
      </c>
      <c r="H42" t="s">
        <v>96</v>
      </c>
      <c r="I42" t="s">
        <v>732</v>
      </c>
      <c r="J42">
        <v>2</v>
      </c>
      <c r="K42">
        <v>4</v>
      </c>
      <c r="L42" t="s">
        <v>745</v>
      </c>
      <c r="M42" s="8">
        <v>2463371</v>
      </c>
      <c r="N42">
        <v>47</v>
      </c>
      <c r="O42">
        <v>12</v>
      </c>
      <c r="P42">
        <f t="shared" si="0"/>
        <v>10</v>
      </c>
      <c r="Q42" t="str">
        <f t="shared" si="1"/>
        <v>Approaching Review</v>
      </c>
      <c r="R42" t="str">
        <f t="shared" si="2"/>
        <v>Yes</v>
      </c>
      <c r="S42" t="str">
        <f t="shared" si="3"/>
        <v>Continue monitoring</v>
      </c>
    </row>
    <row r="43" spans="1:19" x14ac:dyDescent="0.35">
      <c r="A43" t="s">
        <v>781</v>
      </c>
      <c r="B43" s="5">
        <v>46305</v>
      </c>
      <c r="C43" t="s">
        <v>20</v>
      </c>
      <c r="D43" t="s">
        <v>30</v>
      </c>
      <c r="E43" t="s">
        <v>40</v>
      </c>
      <c r="F43" t="s">
        <v>48</v>
      </c>
      <c r="G43" t="s">
        <v>742</v>
      </c>
      <c r="H43" t="s">
        <v>731</v>
      </c>
      <c r="I43" t="s">
        <v>735</v>
      </c>
      <c r="J43">
        <v>4</v>
      </c>
      <c r="K43">
        <v>2</v>
      </c>
      <c r="L43" t="s">
        <v>733</v>
      </c>
      <c r="M43" s="8">
        <v>2267983</v>
      </c>
      <c r="N43">
        <v>65</v>
      </c>
      <c r="O43">
        <v>12</v>
      </c>
      <c r="P43">
        <f t="shared" si="0"/>
        <v>13</v>
      </c>
      <c r="Q43" t="str">
        <f t="shared" si="1"/>
        <v>Review Required</v>
      </c>
      <c r="R43" t="str">
        <f t="shared" si="2"/>
        <v>Yes</v>
      </c>
      <c r="S43" t="str">
        <f t="shared" si="3"/>
        <v>Escalate supplier readiness</v>
      </c>
    </row>
    <row r="44" spans="1:19" x14ac:dyDescent="0.35">
      <c r="A44" t="s">
        <v>782</v>
      </c>
      <c r="B44" s="5">
        <v>46068</v>
      </c>
      <c r="C44" t="s">
        <v>25</v>
      </c>
      <c r="D44" t="s">
        <v>30</v>
      </c>
      <c r="E44" t="s">
        <v>34</v>
      </c>
      <c r="F44" t="s">
        <v>46</v>
      </c>
      <c r="G44" t="s">
        <v>739</v>
      </c>
      <c r="H44" t="s">
        <v>96</v>
      </c>
      <c r="I44" t="s">
        <v>732</v>
      </c>
      <c r="J44">
        <v>3</v>
      </c>
      <c r="K44">
        <v>4</v>
      </c>
      <c r="L44" t="s">
        <v>745</v>
      </c>
      <c r="M44" s="8">
        <v>2304613</v>
      </c>
      <c r="N44">
        <v>1</v>
      </c>
      <c r="O44">
        <v>12</v>
      </c>
      <c r="P44">
        <f t="shared" si="0"/>
        <v>19</v>
      </c>
      <c r="Q44" t="str">
        <f t="shared" si="1"/>
        <v>Review Required</v>
      </c>
      <c r="R44" t="str">
        <f t="shared" si="2"/>
        <v>Yes</v>
      </c>
      <c r="S44" t="str">
        <f t="shared" si="3"/>
        <v>Review defect trend and containment</v>
      </c>
    </row>
    <row r="45" spans="1:19" x14ac:dyDescent="0.35">
      <c r="A45" t="s">
        <v>783</v>
      </c>
      <c r="B45" s="5">
        <v>46112</v>
      </c>
      <c r="C45" t="s">
        <v>20</v>
      </c>
      <c r="D45" t="s">
        <v>27</v>
      </c>
      <c r="E45" t="s">
        <v>40</v>
      </c>
      <c r="F45" t="s">
        <v>42</v>
      </c>
      <c r="G45" t="s">
        <v>742</v>
      </c>
      <c r="H45" t="s">
        <v>96</v>
      </c>
      <c r="I45" t="s">
        <v>747</v>
      </c>
      <c r="J45">
        <v>1</v>
      </c>
      <c r="K45">
        <v>5</v>
      </c>
      <c r="L45" t="s">
        <v>745</v>
      </c>
      <c r="M45" s="8">
        <v>329338</v>
      </c>
      <c r="N45">
        <v>17</v>
      </c>
      <c r="O45">
        <v>12</v>
      </c>
      <c r="P45">
        <f t="shared" si="0"/>
        <v>9</v>
      </c>
      <c r="Q45" t="str">
        <f t="shared" si="1"/>
        <v>Approaching Review</v>
      </c>
      <c r="R45" t="str">
        <f t="shared" si="2"/>
        <v>Yes</v>
      </c>
      <c r="S45" t="str">
        <f t="shared" si="3"/>
        <v>Continue monitoring</v>
      </c>
    </row>
    <row r="46" spans="1:19" x14ac:dyDescent="0.35">
      <c r="A46" t="s">
        <v>784</v>
      </c>
      <c r="B46" s="5">
        <v>46061</v>
      </c>
      <c r="C46" t="s">
        <v>23</v>
      </c>
      <c r="D46" t="s">
        <v>32</v>
      </c>
      <c r="E46" t="s">
        <v>36</v>
      </c>
      <c r="F46" t="s">
        <v>46</v>
      </c>
      <c r="G46" t="s">
        <v>742</v>
      </c>
      <c r="H46" t="s">
        <v>731</v>
      </c>
      <c r="I46" t="s">
        <v>747</v>
      </c>
      <c r="J46">
        <v>4</v>
      </c>
      <c r="K46">
        <v>3</v>
      </c>
      <c r="L46" t="s">
        <v>736</v>
      </c>
      <c r="M46" s="8">
        <v>1215465</v>
      </c>
      <c r="N46">
        <v>72</v>
      </c>
      <c r="O46">
        <v>12</v>
      </c>
      <c r="P46">
        <f t="shared" si="0"/>
        <v>14</v>
      </c>
      <c r="Q46" t="str">
        <f t="shared" si="1"/>
        <v>Review Required</v>
      </c>
      <c r="R46" t="str">
        <f t="shared" si="2"/>
        <v>Yes</v>
      </c>
      <c r="S46" t="str">
        <f t="shared" si="3"/>
        <v>Continue monitoring</v>
      </c>
    </row>
    <row r="47" spans="1:19" x14ac:dyDescent="0.35">
      <c r="A47" t="s">
        <v>785</v>
      </c>
      <c r="B47" s="5">
        <v>46214</v>
      </c>
      <c r="C47" t="s">
        <v>23</v>
      </c>
      <c r="D47" t="s">
        <v>32</v>
      </c>
      <c r="E47" t="s">
        <v>34</v>
      </c>
      <c r="F47" t="s">
        <v>47</v>
      </c>
      <c r="G47" t="s">
        <v>730</v>
      </c>
      <c r="H47" t="s">
        <v>731</v>
      </c>
      <c r="I47" t="s">
        <v>732</v>
      </c>
      <c r="J47">
        <v>2</v>
      </c>
      <c r="K47">
        <v>5</v>
      </c>
      <c r="L47" t="s">
        <v>745</v>
      </c>
      <c r="M47" s="8">
        <v>1509811</v>
      </c>
      <c r="N47">
        <v>17</v>
      </c>
      <c r="O47">
        <v>12</v>
      </c>
      <c r="P47">
        <f t="shared" si="0"/>
        <v>10</v>
      </c>
      <c r="Q47" t="str">
        <f t="shared" si="1"/>
        <v>Approaching Review</v>
      </c>
      <c r="R47" t="str">
        <f t="shared" si="2"/>
        <v>Yes</v>
      </c>
      <c r="S47" t="str">
        <f t="shared" si="3"/>
        <v>Continue monitoring</v>
      </c>
    </row>
    <row r="48" spans="1:19" x14ac:dyDescent="0.35">
      <c r="A48" t="s">
        <v>786</v>
      </c>
      <c r="B48" s="5">
        <v>46066</v>
      </c>
      <c r="C48" t="s">
        <v>20</v>
      </c>
      <c r="D48" t="s">
        <v>29</v>
      </c>
      <c r="E48" t="s">
        <v>36</v>
      </c>
      <c r="F48" t="s">
        <v>44</v>
      </c>
      <c r="G48" t="s">
        <v>742</v>
      </c>
      <c r="H48" t="s">
        <v>731</v>
      </c>
      <c r="I48" t="s">
        <v>747</v>
      </c>
      <c r="J48">
        <v>2</v>
      </c>
      <c r="K48">
        <v>4</v>
      </c>
      <c r="L48" t="s">
        <v>745</v>
      </c>
      <c r="M48" s="8">
        <v>716090</v>
      </c>
      <c r="N48">
        <v>12</v>
      </c>
      <c r="O48">
        <v>12</v>
      </c>
      <c r="P48">
        <f t="shared" si="0"/>
        <v>10</v>
      </c>
      <c r="Q48" t="str">
        <f t="shared" si="1"/>
        <v>Approaching Review</v>
      </c>
      <c r="R48" t="str">
        <f t="shared" si="2"/>
        <v>Yes</v>
      </c>
      <c r="S48" t="str">
        <f t="shared" si="3"/>
        <v>Continue monitoring</v>
      </c>
    </row>
    <row r="49" spans="1:19" x14ac:dyDescent="0.35">
      <c r="A49" t="s">
        <v>787</v>
      </c>
      <c r="B49" s="5">
        <v>46247</v>
      </c>
      <c r="C49" t="s">
        <v>25</v>
      </c>
      <c r="D49" t="s">
        <v>30</v>
      </c>
      <c r="E49" t="s">
        <v>36</v>
      </c>
      <c r="F49" t="s">
        <v>44</v>
      </c>
      <c r="G49" t="s">
        <v>730</v>
      </c>
      <c r="H49" t="s">
        <v>731</v>
      </c>
      <c r="I49" t="s">
        <v>735</v>
      </c>
      <c r="J49">
        <v>3</v>
      </c>
      <c r="K49">
        <v>3</v>
      </c>
      <c r="L49" t="s">
        <v>743</v>
      </c>
      <c r="M49" s="8">
        <v>1911126</v>
      </c>
      <c r="N49">
        <v>48</v>
      </c>
      <c r="O49">
        <v>12</v>
      </c>
      <c r="P49">
        <f t="shared" si="0"/>
        <v>14</v>
      </c>
      <c r="Q49" t="str">
        <f t="shared" si="1"/>
        <v>Review Required</v>
      </c>
      <c r="R49" t="str">
        <f t="shared" si="2"/>
        <v>Yes</v>
      </c>
      <c r="S49" t="str">
        <f t="shared" si="3"/>
        <v>Escalate supplier readiness</v>
      </c>
    </row>
    <row r="50" spans="1:19" x14ac:dyDescent="0.35">
      <c r="A50" t="s">
        <v>788</v>
      </c>
      <c r="B50" s="5">
        <v>46113</v>
      </c>
      <c r="C50" t="s">
        <v>20</v>
      </c>
      <c r="D50" t="s">
        <v>32</v>
      </c>
      <c r="E50" t="s">
        <v>37</v>
      </c>
      <c r="F50" t="s">
        <v>46</v>
      </c>
      <c r="G50" t="s">
        <v>730</v>
      </c>
      <c r="H50" t="s">
        <v>96</v>
      </c>
      <c r="I50" t="s">
        <v>732</v>
      </c>
      <c r="J50">
        <v>3</v>
      </c>
      <c r="K50">
        <v>5</v>
      </c>
      <c r="L50" t="s">
        <v>745</v>
      </c>
      <c r="M50" s="8">
        <v>1168271</v>
      </c>
      <c r="N50">
        <v>70</v>
      </c>
      <c r="O50">
        <v>12</v>
      </c>
      <c r="P50">
        <f t="shared" si="0"/>
        <v>17</v>
      </c>
      <c r="Q50" t="str">
        <f t="shared" si="1"/>
        <v>Review Required</v>
      </c>
      <c r="R50" t="str">
        <f t="shared" si="2"/>
        <v>Yes</v>
      </c>
      <c r="S50" t="str">
        <f t="shared" si="3"/>
        <v>Continue monitoring</v>
      </c>
    </row>
    <row r="51" spans="1:19" x14ac:dyDescent="0.35">
      <c r="A51" t="s">
        <v>789</v>
      </c>
      <c r="B51" s="5">
        <v>46068</v>
      </c>
      <c r="C51" t="s">
        <v>23</v>
      </c>
      <c r="D51" t="s">
        <v>32</v>
      </c>
      <c r="E51" t="s">
        <v>39</v>
      </c>
      <c r="F51" t="s">
        <v>46</v>
      </c>
      <c r="G51" t="s">
        <v>742</v>
      </c>
      <c r="H51" t="s">
        <v>96</v>
      </c>
      <c r="I51" t="s">
        <v>747</v>
      </c>
      <c r="J51">
        <v>1</v>
      </c>
      <c r="K51">
        <v>3</v>
      </c>
      <c r="L51" t="s">
        <v>733</v>
      </c>
      <c r="M51" s="8">
        <v>923136</v>
      </c>
      <c r="N51">
        <v>68</v>
      </c>
      <c r="O51">
        <v>12</v>
      </c>
      <c r="P51">
        <f t="shared" si="0"/>
        <v>7</v>
      </c>
      <c r="Q51" t="str">
        <f t="shared" si="1"/>
        <v>Monitor</v>
      </c>
      <c r="R51" t="str">
        <f t="shared" si="2"/>
        <v>No</v>
      </c>
      <c r="S51" t="str">
        <f t="shared" si="3"/>
        <v>Continue monitoring</v>
      </c>
    </row>
    <row r="52" spans="1:19" x14ac:dyDescent="0.35">
      <c r="A52" t="s">
        <v>790</v>
      </c>
      <c r="B52" s="5">
        <v>46236</v>
      </c>
      <c r="C52" t="s">
        <v>20</v>
      </c>
      <c r="D52" t="s">
        <v>31</v>
      </c>
      <c r="E52" t="s">
        <v>37</v>
      </c>
      <c r="F52" t="s">
        <v>46</v>
      </c>
      <c r="G52" t="s">
        <v>730</v>
      </c>
      <c r="H52" t="s">
        <v>731</v>
      </c>
      <c r="I52" t="s">
        <v>732</v>
      </c>
      <c r="J52">
        <v>3</v>
      </c>
      <c r="K52">
        <v>3</v>
      </c>
      <c r="L52" t="s">
        <v>736</v>
      </c>
      <c r="M52" s="8">
        <v>556033</v>
      </c>
      <c r="N52">
        <v>68</v>
      </c>
      <c r="O52">
        <v>12</v>
      </c>
      <c r="P52">
        <f t="shared" si="0"/>
        <v>9</v>
      </c>
      <c r="Q52" t="str">
        <f t="shared" si="1"/>
        <v>Approaching Review</v>
      </c>
      <c r="R52" t="str">
        <f t="shared" si="2"/>
        <v>No</v>
      </c>
      <c r="S52" t="str">
        <f t="shared" si="3"/>
        <v>Continue monitoring</v>
      </c>
    </row>
    <row r="53" spans="1:19" x14ac:dyDescent="0.35">
      <c r="A53" t="s">
        <v>791</v>
      </c>
      <c r="B53" s="5">
        <v>46216</v>
      </c>
      <c r="C53" t="s">
        <v>24</v>
      </c>
      <c r="D53" t="s">
        <v>27</v>
      </c>
      <c r="E53" t="s">
        <v>39</v>
      </c>
      <c r="F53" t="s">
        <v>48</v>
      </c>
      <c r="G53" t="s">
        <v>742</v>
      </c>
      <c r="H53" t="s">
        <v>731</v>
      </c>
      <c r="I53" t="s">
        <v>732</v>
      </c>
      <c r="J53">
        <v>5</v>
      </c>
      <c r="K53">
        <v>4</v>
      </c>
      <c r="L53" t="s">
        <v>736</v>
      </c>
      <c r="M53" s="8">
        <v>1020866</v>
      </c>
      <c r="N53">
        <v>7</v>
      </c>
      <c r="O53">
        <v>12</v>
      </c>
      <c r="P53">
        <f t="shared" si="0"/>
        <v>20</v>
      </c>
      <c r="Q53" t="str">
        <f t="shared" si="1"/>
        <v>Review Required</v>
      </c>
      <c r="R53" t="str">
        <f t="shared" si="2"/>
        <v>Yes</v>
      </c>
      <c r="S53" t="str">
        <f t="shared" si="3"/>
        <v>Continue monitoring</v>
      </c>
    </row>
    <row r="54" spans="1:19" x14ac:dyDescent="0.35">
      <c r="A54" t="s">
        <v>792</v>
      </c>
      <c r="B54" s="5">
        <v>46140</v>
      </c>
      <c r="C54" t="s">
        <v>22</v>
      </c>
      <c r="D54" t="s">
        <v>30</v>
      </c>
      <c r="E54" t="s">
        <v>40</v>
      </c>
      <c r="F54" t="s">
        <v>45</v>
      </c>
      <c r="G54" t="s">
        <v>742</v>
      </c>
      <c r="H54" t="s">
        <v>96</v>
      </c>
      <c r="I54" t="s">
        <v>732</v>
      </c>
      <c r="J54">
        <v>1</v>
      </c>
      <c r="K54">
        <v>1</v>
      </c>
      <c r="L54" t="s">
        <v>733</v>
      </c>
      <c r="M54" s="8">
        <v>1578432</v>
      </c>
      <c r="N54">
        <v>24</v>
      </c>
      <c r="O54">
        <v>12</v>
      </c>
      <c r="P54">
        <f t="shared" si="0"/>
        <v>3</v>
      </c>
      <c r="Q54" t="str">
        <f t="shared" si="1"/>
        <v>Monitor</v>
      </c>
      <c r="R54" t="str">
        <f t="shared" si="2"/>
        <v>No</v>
      </c>
      <c r="S54" t="str">
        <f t="shared" si="3"/>
        <v>Continue monitoring</v>
      </c>
    </row>
    <row r="55" spans="1:19" x14ac:dyDescent="0.35">
      <c r="A55" t="s">
        <v>793</v>
      </c>
      <c r="B55" s="5">
        <v>46094</v>
      </c>
      <c r="C55" t="s">
        <v>24</v>
      </c>
      <c r="D55" t="s">
        <v>32</v>
      </c>
      <c r="E55" t="s">
        <v>38</v>
      </c>
      <c r="F55" t="s">
        <v>44</v>
      </c>
      <c r="G55" t="s">
        <v>730</v>
      </c>
      <c r="H55" t="s">
        <v>731</v>
      </c>
      <c r="I55" t="s">
        <v>735</v>
      </c>
      <c r="J55">
        <v>1</v>
      </c>
      <c r="K55">
        <v>3</v>
      </c>
      <c r="L55" t="s">
        <v>745</v>
      </c>
      <c r="M55" s="8">
        <v>50463</v>
      </c>
      <c r="N55">
        <v>35</v>
      </c>
      <c r="O55">
        <v>12</v>
      </c>
      <c r="P55">
        <f t="shared" si="0"/>
        <v>8</v>
      </c>
      <c r="Q55" t="str">
        <f t="shared" si="1"/>
        <v>Monitor</v>
      </c>
      <c r="R55" t="str">
        <f t="shared" si="2"/>
        <v>Yes</v>
      </c>
      <c r="S55" t="str">
        <f t="shared" si="3"/>
        <v>Escalate supplier readiness</v>
      </c>
    </row>
    <row r="56" spans="1:19" x14ac:dyDescent="0.35">
      <c r="A56" t="s">
        <v>794</v>
      </c>
      <c r="B56" s="5">
        <v>46152</v>
      </c>
      <c r="C56" t="s">
        <v>24</v>
      </c>
      <c r="D56" t="s">
        <v>30</v>
      </c>
      <c r="E56" t="s">
        <v>37</v>
      </c>
      <c r="F56" t="s">
        <v>47</v>
      </c>
      <c r="G56" t="s">
        <v>739</v>
      </c>
      <c r="H56" t="s">
        <v>731</v>
      </c>
      <c r="I56" t="s">
        <v>732</v>
      </c>
      <c r="J56">
        <v>1</v>
      </c>
      <c r="K56">
        <v>3</v>
      </c>
      <c r="L56" t="s">
        <v>736</v>
      </c>
      <c r="M56" s="8">
        <v>2444268</v>
      </c>
      <c r="N56">
        <v>53</v>
      </c>
      <c r="O56">
        <v>12</v>
      </c>
      <c r="P56">
        <f t="shared" si="0"/>
        <v>8</v>
      </c>
      <c r="Q56" t="str">
        <f t="shared" si="1"/>
        <v>Monitor</v>
      </c>
      <c r="R56" t="str">
        <f t="shared" si="2"/>
        <v>No</v>
      </c>
      <c r="S56" t="str">
        <f t="shared" si="3"/>
        <v>Review defect trend and containment</v>
      </c>
    </row>
    <row r="57" spans="1:19" x14ac:dyDescent="0.35">
      <c r="A57" t="s">
        <v>795</v>
      </c>
      <c r="B57" s="5">
        <v>46263</v>
      </c>
      <c r="C57" t="s">
        <v>20</v>
      </c>
      <c r="D57" t="s">
        <v>27</v>
      </c>
      <c r="E57" t="s">
        <v>39</v>
      </c>
      <c r="F57" t="s">
        <v>45</v>
      </c>
      <c r="G57" t="s">
        <v>730</v>
      </c>
      <c r="H57" t="s">
        <v>731</v>
      </c>
      <c r="I57" t="s">
        <v>732</v>
      </c>
      <c r="J57">
        <v>1</v>
      </c>
      <c r="K57">
        <v>1</v>
      </c>
      <c r="L57" t="s">
        <v>733</v>
      </c>
      <c r="M57" s="8">
        <v>2462545</v>
      </c>
      <c r="N57">
        <v>32</v>
      </c>
      <c r="O57">
        <v>12</v>
      </c>
      <c r="P57">
        <f t="shared" si="0"/>
        <v>1</v>
      </c>
      <c r="Q57" t="str">
        <f t="shared" si="1"/>
        <v>Monitor</v>
      </c>
      <c r="R57" t="str">
        <f t="shared" si="2"/>
        <v>No</v>
      </c>
      <c r="S57" t="str">
        <f t="shared" si="3"/>
        <v>Continue monitoring</v>
      </c>
    </row>
    <row r="58" spans="1:19" x14ac:dyDescent="0.35">
      <c r="A58" t="s">
        <v>796</v>
      </c>
      <c r="B58" s="5">
        <v>46060</v>
      </c>
      <c r="C58" t="s">
        <v>23</v>
      </c>
      <c r="D58" t="s">
        <v>29</v>
      </c>
      <c r="E58" t="s">
        <v>39</v>
      </c>
      <c r="F58" t="s">
        <v>42</v>
      </c>
      <c r="G58" t="s">
        <v>739</v>
      </c>
      <c r="H58" t="s">
        <v>731</v>
      </c>
      <c r="I58" t="s">
        <v>747</v>
      </c>
      <c r="J58">
        <v>5</v>
      </c>
      <c r="K58">
        <v>4</v>
      </c>
      <c r="L58" t="s">
        <v>743</v>
      </c>
      <c r="M58" s="8">
        <v>1733492</v>
      </c>
      <c r="N58">
        <v>11</v>
      </c>
      <c r="O58">
        <v>12</v>
      </c>
      <c r="P58">
        <f t="shared" si="0"/>
        <v>27</v>
      </c>
      <c r="Q58" t="str">
        <f t="shared" si="1"/>
        <v>Review Required</v>
      </c>
      <c r="R58" t="str">
        <f t="shared" si="2"/>
        <v>Yes</v>
      </c>
      <c r="S58" t="str">
        <f t="shared" si="3"/>
        <v>Review defect trend and containment</v>
      </c>
    </row>
    <row r="59" spans="1:19" x14ac:dyDescent="0.35">
      <c r="A59" t="s">
        <v>797</v>
      </c>
      <c r="B59" s="5">
        <v>46060</v>
      </c>
      <c r="C59" t="s">
        <v>22</v>
      </c>
      <c r="D59" t="s">
        <v>29</v>
      </c>
      <c r="E59" t="s">
        <v>37</v>
      </c>
      <c r="F59" t="s">
        <v>48</v>
      </c>
      <c r="G59" t="s">
        <v>730</v>
      </c>
      <c r="H59" t="s">
        <v>731</v>
      </c>
      <c r="I59" t="s">
        <v>735</v>
      </c>
      <c r="J59">
        <v>4</v>
      </c>
      <c r="K59">
        <v>5</v>
      </c>
      <c r="L59" t="s">
        <v>745</v>
      </c>
      <c r="M59" s="8">
        <v>764053</v>
      </c>
      <c r="N59">
        <v>60</v>
      </c>
      <c r="O59">
        <v>12</v>
      </c>
      <c r="P59">
        <f t="shared" si="0"/>
        <v>25</v>
      </c>
      <c r="Q59" t="str">
        <f t="shared" si="1"/>
        <v>Review Required</v>
      </c>
      <c r="R59" t="str">
        <f t="shared" si="2"/>
        <v>Yes</v>
      </c>
      <c r="S59" t="str">
        <f t="shared" si="3"/>
        <v>Escalate supplier readiness</v>
      </c>
    </row>
    <row r="60" spans="1:19" x14ac:dyDescent="0.35">
      <c r="A60" t="s">
        <v>798</v>
      </c>
      <c r="B60" s="5">
        <v>46086</v>
      </c>
      <c r="C60" t="s">
        <v>23</v>
      </c>
      <c r="D60" t="s">
        <v>32</v>
      </c>
      <c r="E60" t="s">
        <v>40</v>
      </c>
      <c r="F60" t="s">
        <v>46</v>
      </c>
      <c r="G60" t="s">
        <v>739</v>
      </c>
      <c r="H60" t="s">
        <v>96</v>
      </c>
      <c r="I60" t="s">
        <v>732</v>
      </c>
      <c r="J60">
        <v>2</v>
      </c>
      <c r="K60">
        <v>2</v>
      </c>
      <c r="L60" t="s">
        <v>736</v>
      </c>
      <c r="M60" s="8">
        <v>803296</v>
      </c>
      <c r="N60">
        <v>25</v>
      </c>
      <c r="O60">
        <v>12</v>
      </c>
      <c r="P60">
        <f t="shared" si="0"/>
        <v>11</v>
      </c>
      <c r="Q60" t="str">
        <f t="shared" si="1"/>
        <v>Approaching Review</v>
      </c>
      <c r="R60" t="str">
        <f t="shared" si="2"/>
        <v>No</v>
      </c>
      <c r="S60" t="str">
        <f t="shared" si="3"/>
        <v>Review defect trend and containment</v>
      </c>
    </row>
    <row r="61" spans="1:19" x14ac:dyDescent="0.35">
      <c r="A61" t="s">
        <v>799</v>
      </c>
      <c r="B61" s="5">
        <v>46151</v>
      </c>
      <c r="C61" t="s">
        <v>25</v>
      </c>
      <c r="D61" t="s">
        <v>29</v>
      </c>
      <c r="E61" t="s">
        <v>38</v>
      </c>
      <c r="F61" t="s">
        <v>44</v>
      </c>
      <c r="G61" t="s">
        <v>742</v>
      </c>
      <c r="H61" t="s">
        <v>731</v>
      </c>
      <c r="I61" t="s">
        <v>732</v>
      </c>
      <c r="J61">
        <v>1</v>
      </c>
      <c r="K61">
        <v>2</v>
      </c>
      <c r="L61" t="s">
        <v>736</v>
      </c>
      <c r="M61" s="8">
        <v>859442</v>
      </c>
      <c r="N61">
        <v>55</v>
      </c>
      <c r="O61">
        <v>12</v>
      </c>
      <c r="P61">
        <f t="shared" si="0"/>
        <v>2</v>
      </c>
      <c r="Q61" t="str">
        <f t="shared" si="1"/>
        <v>Monitor</v>
      </c>
      <c r="R61" t="str">
        <f t="shared" si="2"/>
        <v>No</v>
      </c>
      <c r="S61" t="str">
        <f t="shared" si="3"/>
        <v>Continue monitoring</v>
      </c>
    </row>
    <row r="62" spans="1:19" x14ac:dyDescent="0.35">
      <c r="A62" t="s">
        <v>800</v>
      </c>
      <c r="B62" s="5">
        <v>46027</v>
      </c>
      <c r="C62" t="s">
        <v>20</v>
      </c>
      <c r="D62" t="s">
        <v>32</v>
      </c>
      <c r="E62" t="s">
        <v>40</v>
      </c>
      <c r="F62" t="s">
        <v>45</v>
      </c>
      <c r="G62" t="s">
        <v>742</v>
      </c>
      <c r="H62" t="s">
        <v>96</v>
      </c>
      <c r="I62" t="s">
        <v>747</v>
      </c>
      <c r="J62">
        <v>2</v>
      </c>
      <c r="K62">
        <v>2</v>
      </c>
      <c r="L62" t="s">
        <v>745</v>
      </c>
      <c r="M62" s="8">
        <v>239679</v>
      </c>
      <c r="N62">
        <v>66</v>
      </c>
      <c r="O62">
        <v>12</v>
      </c>
      <c r="P62">
        <f t="shared" si="0"/>
        <v>8</v>
      </c>
      <c r="Q62" t="str">
        <f t="shared" si="1"/>
        <v>Monitor</v>
      </c>
      <c r="R62" t="str">
        <f t="shared" si="2"/>
        <v>Yes</v>
      </c>
      <c r="S62" t="str">
        <f t="shared" si="3"/>
        <v>Continue monitoring</v>
      </c>
    </row>
    <row r="63" spans="1:19" x14ac:dyDescent="0.35">
      <c r="A63" t="s">
        <v>801</v>
      </c>
      <c r="B63" s="5">
        <v>46088</v>
      </c>
      <c r="C63" t="s">
        <v>24</v>
      </c>
      <c r="D63" t="s">
        <v>27</v>
      </c>
      <c r="E63" t="s">
        <v>40</v>
      </c>
      <c r="F63" t="s">
        <v>42</v>
      </c>
      <c r="G63" t="s">
        <v>730</v>
      </c>
      <c r="H63" t="s">
        <v>731</v>
      </c>
      <c r="I63" t="s">
        <v>732</v>
      </c>
      <c r="J63">
        <v>5</v>
      </c>
      <c r="K63">
        <v>2</v>
      </c>
      <c r="L63" t="s">
        <v>733</v>
      </c>
      <c r="M63" s="8">
        <v>1424728</v>
      </c>
      <c r="N63">
        <v>19</v>
      </c>
      <c r="O63">
        <v>12</v>
      </c>
      <c r="P63">
        <f t="shared" si="0"/>
        <v>10</v>
      </c>
      <c r="Q63" t="str">
        <f t="shared" si="1"/>
        <v>Approaching Review</v>
      </c>
      <c r="R63" t="str">
        <f t="shared" si="2"/>
        <v>No</v>
      </c>
      <c r="S63" t="str">
        <f t="shared" si="3"/>
        <v>Continue monitoring</v>
      </c>
    </row>
    <row r="64" spans="1:19" x14ac:dyDescent="0.35">
      <c r="A64" t="s">
        <v>802</v>
      </c>
      <c r="B64" s="5">
        <v>46296</v>
      </c>
      <c r="C64" t="s">
        <v>20</v>
      </c>
      <c r="D64" t="s">
        <v>31</v>
      </c>
      <c r="E64" t="s">
        <v>37</v>
      </c>
      <c r="F64" t="s">
        <v>48</v>
      </c>
      <c r="G64" t="s">
        <v>730</v>
      </c>
      <c r="H64" t="s">
        <v>731</v>
      </c>
      <c r="I64" t="s">
        <v>732</v>
      </c>
      <c r="J64">
        <v>3</v>
      </c>
      <c r="K64">
        <v>1</v>
      </c>
      <c r="L64" t="s">
        <v>733</v>
      </c>
      <c r="M64" s="8">
        <v>37194</v>
      </c>
      <c r="N64">
        <v>11</v>
      </c>
      <c r="O64">
        <v>12</v>
      </c>
      <c r="P64">
        <f t="shared" si="0"/>
        <v>3</v>
      </c>
      <c r="Q64" t="str">
        <f t="shared" si="1"/>
        <v>Monitor</v>
      </c>
      <c r="R64" t="str">
        <f t="shared" si="2"/>
        <v>No</v>
      </c>
      <c r="S64" t="str">
        <f t="shared" si="3"/>
        <v>Continue monitoring</v>
      </c>
    </row>
    <row r="65" spans="1:19" x14ac:dyDescent="0.35">
      <c r="A65" t="s">
        <v>803</v>
      </c>
      <c r="B65" s="5">
        <v>46301</v>
      </c>
      <c r="C65" t="s">
        <v>25</v>
      </c>
      <c r="D65" t="s">
        <v>32</v>
      </c>
      <c r="E65" t="s">
        <v>40</v>
      </c>
      <c r="F65" t="s">
        <v>45</v>
      </c>
      <c r="G65" t="s">
        <v>739</v>
      </c>
      <c r="H65" t="s">
        <v>731</v>
      </c>
      <c r="I65" t="s">
        <v>732</v>
      </c>
      <c r="J65">
        <v>3</v>
      </c>
      <c r="K65">
        <v>3</v>
      </c>
      <c r="L65" t="s">
        <v>736</v>
      </c>
      <c r="M65" s="8">
        <v>331391</v>
      </c>
      <c r="N65">
        <v>19</v>
      </c>
      <c r="O65">
        <v>12</v>
      </c>
      <c r="P65">
        <f t="shared" si="0"/>
        <v>14</v>
      </c>
      <c r="Q65" t="str">
        <f t="shared" si="1"/>
        <v>Review Required</v>
      </c>
      <c r="R65" t="str">
        <f t="shared" si="2"/>
        <v>Yes</v>
      </c>
      <c r="S65" t="str">
        <f t="shared" si="3"/>
        <v>Review defect trend and containment</v>
      </c>
    </row>
    <row r="66" spans="1:19" x14ac:dyDescent="0.35">
      <c r="A66" t="s">
        <v>804</v>
      </c>
      <c r="B66" s="5">
        <v>46215</v>
      </c>
      <c r="C66" t="s">
        <v>25</v>
      </c>
      <c r="D66" t="s">
        <v>30</v>
      </c>
      <c r="E66" t="s">
        <v>39</v>
      </c>
      <c r="F66" t="s">
        <v>42</v>
      </c>
      <c r="G66" t="s">
        <v>730</v>
      </c>
      <c r="H66" t="s">
        <v>731</v>
      </c>
      <c r="I66" t="s">
        <v>732</v>
      </c>
      <c r="J66">
        <v>1</v>
      </c>
      <c r="K66">
        <v>1</v>
      </c>
      <c r="L66" t="s">
        <v>733</v>
      </c>
      <c r="M66" s="8">
        <v>1079202</v>
      </c>
      <c r="N66">
        <v>23</v>
      </c>
      <c r="O66">
        <v>12</v>
      </c>
      <c r="P66">
        <f t="shared" ref="P66:P129" si="4">J66*K66+IF(G66="Worsening",5,0)+IF(H66="Missing",5,IF(H66="Pending",2,0))+IF(I66="At Risk",5,IF(I66="Conditional",2,0))</f>
        <v>1</v>
      </c>
      <c r="Q66" t="str">
        <f t="shared" ref="Q66:Q129" si="5">IF(P66&gt;=O66,"Review Required",IF(P66&gt;=O66*0.75,"Approaching Review","Monitor"))</f>
        <v>Monitor</v>
      </c>
      <c r="R66" t="str">
        <f t="shared" ref="R66:R129" si="6">IF(OR(L66="Critical",Q66="Review Required",H66="Missing"),"Yes","No")</f>
        <v>No</v>
      </c>
      <c r="S66" t="str">
        <f t="shared" ref="S66:S129" si="7">IF(H66="Missing","Validate calibration evidence",IF(G66="Worsening","Review defect trend and containment",IF(I66="At Risk","Escalate supplier readiness","Continue monitoring")))</f>
        <v>Continue monitoring</v>
      </c>
    </row>
    <row r="67" spans="1:19" x14ac:dyDescent="0.35">
      <c r="A67" t="s">
        <v>805</v>
      </c>
      <c r="B67" s="5">
        <v>46081</v>
      </c>
      <c r="C67" t="s">
        <v>24</v>
      </c>
      <c r="D67" t="s">
        <v>30</v>
      </c>
      <c r="E67" t="s">
        <v>40</v>
      </c>
      <c r="F67" t="s">
        <v>42</v>
      </c>
      <c r="G67" t="s">
        <v>742</v>
      </c>
      <c r="H67" t="s">
        <v>731</v>
      </c>
      <c r="I67" t="s">
        <v>747</v>
      </c>
      <c r="J67">
        <v>3</v>
      </c>
      <c r="K67">
        <v>5</v>
      </c>
      <c r="L67" t="s">
        <v>733</v>
      </c>
      <c r="M67" s="8">
        <v>1531377</v>
      </c>
      <c r="N67">
        <v>26</v>
      </c>
      <c r="O67">
        <v>12</v>
      </c>
      <c r="P67">
        <f t="shared" si="4"/>
        <v>17</v>
      </c>
      <c r="Q67" t="str">
        <f t="shared" si="5"/>
        <v>Review Required</v>
      </c>
      <c r="R67" t="str">
        <f t="shared" si="6"/>
        <v>Yes</v>
      </c>
      <c r="S67" t="str">
        <f t="shared" si="7"/>
        <v>Continue monitoring</v>
      </c>
    </row>
    <row r="68" spans="1:19" x14ac:dyDescent="0.35">
      <c r="A68" t="s">
        <v>806</v>
      </c>
      <c r="B68" s="5">
        <v>46073</v>
      </c>
      <c r="C68" t="s">
        <v>23</v>
      </c>
      <c r="D68" t="s">
        <v>32</v>
      </c>
      <c r="E68" t="s">
        <v>37</v>
      </c>
      <c r="F68" t="s">
        <v>45</v>
      </c>
      <c r="G68" t="s">
        <v>739</v>
      </c>
      <c r="H68" t="s">
        <v>731</v>
      </c>
      <c r="I68" t="s">
        <v>732</v>
      </c>
      <c r="J68">
        <v>2</v>
      </c>
      <c r="K68">
        <v>5</v>
      </c>
      <c r="L68" t="s">
        <v>745</v>
      </c>
      <c r="M68" s="8">
        <v>1193903</v>
      </c>
      <c r="N68">
        <v>38</v>
      </c>
      <c r="O68">
        <v>12</v>
      </c>
      <c r="P68">
        <f t="shared" si="4"/>
        <v>15</v>
      </c>
      <c r="Q68" t="str">
        <f t="shared" si="5"/>
        <v>Review Required</v>
      </c>
      <c r="R68" t="str">
        <f t="shared" si="6"/>
        <v>Yes</v>
      </c>
      <c r="S68" t="str">
        <f t="shared" si="7"/>
        <v>Review defect trend and containment</v>
      </c>
    </row>
    <row r="69" spans="1:19" x14ac:dyDescent="0.35">
      <c r="A69" t="s">
        <v>807</v>
      </c>
      <c r="B69" s="5">
        <v>46129</v>
      </c>
      <c r="C69" t="s">
        <v>22</v>
      </c>
      <c r="D69" t="s">
        <v>29</v>
      </c>
      <c r="E69" t="s">
        <v>34</v>
      </c>
      <c r="F69" t="s">
        <v>45</v>
      </c>
      <c r="G69" t="s">
        <v>730</v>
      </c>
      <c r="H69" t="s">
        <v>731</v>
      </c>
      <c r="I69" t="s">
        <v>732</v>
      </c>
      <c r="J69">
        <v>1</v>
      </c>
      <c r="K69">
        <v>4</v>
      </c>
      <c r="L69" t="s">
        <v>745</v>
      </c>
      <c r="M69" s="8">
        <v>1229093</v>
      </c>
      <c r="N69">
        <v>39</v>
      </c>
      <c r="O69">
        <v>12</v>
      </c>
      <c r="P69">
        <f t="shared" si="4"/>
        <v>4</v>
      </c>
      <c r="Q69" t="str">
        <f t="shared" si="5"/>
        <v>Monitor</v>
      </c>
      <c r="R69" t="str">
        <f t="shared" si="6"/>
        <v>Yes</v>
      </c>
      <c r="S69" t="str">
        <f t="shared" si="7"/>
        <v>Continue monitoring</v>
      </c>
    </row>
    <row r="70" spans="1:19" x14ac:dyDescent="0.35">
      <c r="A70" t="s">
        <v>808</v>
      </c>
      <c r="B70" s="5">
        <v>46224</v>
      </c>
      <c r="C70" t="s">
        <v>25</v>
      </c>
      <c r="D70" t="s">
        <v>30</v>
      </c>
      <c r="E70" t="s">
        <v>39</v>
      </c>
      <c r="F70" t="s">
        <v>48</v>
      </c>
      <c r="G70" t="s">
        <v>742</v>
      </c>
      <c r="H70" t="s">
        <v>731</v>
      </c>
      <c r="I70" t="s">
        <v>732</v>
      </c>
      <c r="J70">
        <v>3</v>
      </c>
      <c r="K70">
        <v>5</v>
      </c>
      <c r="L70" t="s">
        <v>743</v>
      </c>
      <c r="M70" s="8">
        <v>2177617</v>
      </c>
      <c r="N70">
        <v>19</v>
      </c>
      <c r="O70">
        <v>12</v>
      </c>
      <c r="P70">
        <f t="shared" si="4"/>
        <v>15</v>
      </c>
      <c r="Q70" t="str">
        <f t="shared" si="5"/>
        <v>Review Required</v>
      </c>
      <c r="R70" t="str">
        <f t="shared" si="6"/>
        <v>Yes</v>
      </c>
      <c r="S70" t="str">
        <f t="shared" si="7"/>
        <v>Continue monitoring</v>
      </c>
    </row>
    <row r="71" spans="1:19" x14ac:dyDescent="0.35">
      <c r="A71" t="s">
        <v>809</v>
      </c>
      <c r="B71" s="5">
        <v>46164</v>
      </c>
      <c r="C71" t="s">
        <v>24</v>
      </c>
      <c r="D71" t="s">
        <v>27</v>
      </c>
      <c r="E71" t="s">
        <v>40</v>
      </c>
      <c r="F71" t="s">
        <v>44</v>
      </c>
      <c r="G71" t="s">
        <v>730</v>
      </c>
      <c r="H71" t="s">
        <v>96</v>
      </c>
      <c r="I71" t="s">
        <v>747</v>
      </c>
      <c r="J71">
        <v>4</v>
      </c>
      <c r="K71">
        <v>2</v>
      </c>
      <c r="L71" t="s">
        <v>736</v>
      </c>
      <c r="M71" s="8">
        <v>1409663</v>
      </c>
      <c r="N71">
        <v>16</v>
      </c>
      <c r="O71">
        <v>12</v>
      </c>
      <c r="P71">
        <f t="shared" si="4"/>
        <v>12</v>
      </c>
      <c r="Q71" t="str">
        <f t="shared" si="5"/>
        <v>Review Required</v>
      </c>
      <c r="R71" t="str">
        <f t="shared" si="6"/>
        <v>Yes</v>
      </c>
      <c r="S71" t="str">
        <f t="shared" si="7"/>
        <v>Continue monitoring</v>
      </c>
    </row>
    <row r="72" spans="1:19" x14ac:dyDescent="0.35">
      <c r="A72" t="s">
        <v>810</v>
      </c>
      <c r="B72" s="5">
        <v>46168</v>
      </c>
      <c r="C72" t="s">
        <v>20</v>
      </c>
      <c r="D72" t="s">
        <v>27</v>
      </c>
      <c r="E72" t="s">
        <v>37</v>
      </c>
      <c r="F72" t="s">
        <v>42</v>
      </c>
      <c r="G72" t="s">
        <v>739</v>
      </c>
      <c r="H72" t="s">
        <v>96</v>
      </c>
      <c r="I72" t="s">
        <v>732</v>
      </c>
      <c r="J72">
        <v>3</v>
      </c>
      <c r="K72">
        <v>4</v>
      </c>
      <c r="L72" t="s">
        <v>736</v>
      </c>
      <c r="M72" s="8">
        <v>1998471</v>
      </c>
      <c r="N72">
        <v>63</v>
      </c>
      <c r="O72">
        <v>12</v>
      </c>
      <c r="P72">
        <f t="shared" si="4"/>
        <v>19</v>
      </c>
      <c r="Q72" t="str">
        <f t="shared" si="5"/>
        <v>Review Required</v>
      </c>
      <c r="R72" t="str">
        <f t="shared" si="6"/>
        <v>Yes</v>
      </c>
      <c r="S72" t="str">
        <f t="shared" si="7"/>
        <v>Review defect trend and containment</v>
      </c>
    </row>
    <row r="73" spans="1:19" x14ac:dyDescent="0.35">
      <c r="A73" t="s">
        <v>811</v>
      </c>
      <c r="B73" s="5">
        <v>46283</v>
      </c>
      <c r="C73" t="s">
        <v>22</v>
      </c>
      <c r="D73" t="s">
        <v>30</v>
      </c>
      <c r="E73" t="s">
        <v>40</v>
      </c>
      <c r="F73" t="s">
        <v>42</v>
      </c>
      <c r="G73" t="s">
        <v>730</v>
      </c>
      <c r="H73" t="s">
        <v>731</v>
      </c>
      <c r="I73" t="s">
        <v>747</v>
      </c>
      <c r="J73">
        <v>4</v>
      </c>
      <c r="K73">
        <v>5</v>
      </c>
      <c r="L73" t="s">
        <v>733</v>
      </c>
      <c r="M73" s="8">
        <v>933073</v>
      </c>
      <c r="N73">
        <v>6</v>
      </c>
      <c r="O73">
        <v>12</v>
      </c>
      <c r="P73">
        <f t="shared" si="4"/>
        <v>22</v>
      </c>
      <c r="Q73" t="str">
        <f t="shared" si="5"/>
        <v>Review Required</v>
      </c>
      <c r="R73" t="str">
        <f t="shared" si="6"/>
        <v>Yes</v>
      </c>
      <c r="S73" t="str">
        <f t="shared" si="7"/>
        <v>Continue monitoring</v>
      </c>
    </row>
    <row r="74" spans="1:19" x14ac:dyDescent="0.35">
      <c r="A74" t="s">
        <v>812</v>
      </c>
      <c r="B74" s="5">
        <v>46277</v>
      </c>
      <c r="C74" t="s">
        <v>20</v>
      </c>
      <c r="D74" t="s">
        <v>30</v>
      </c>
      <c r="E74" t="s">
        <v>36</v>
      </c>
      <c r="F74" t="s">
        <v>45</v>
      </c>
      <c r="G74" t="s">
        <v>739</v>
      </c>
      <c r="H74" t="s">
        <v>96</v>
      </c>
      <c r="I74" t="s">
        <v>732</v>
      </c>
      <c r="J74">
        <v>4</v>
      </c>
      <c r="K74">
        <v>5</v>
      </c>
      <c r="L74" t="s">
        <v>743</v>
      </c>
      <c r="M74" s="8">
        <v>1510366</v>
      </c>
      <c r="N74">
        <v>65</v>
      </c>
      <c r="O74">
        <v>12</v>
      </c>
      <c r="P74">
        <f t="shared" si="4"/>
        <v>27</v>
      </c>
      <c r="Q74" t="str">
        <f t="shared" si="5"/>
        <v>Review Required</v>
      </c>
      <c r="R74" t="str">
        <f t="shared" si="6"/>
        <v>Yes</v>
      </c>
      <c r="S74" t="str">
        <f t="shared" si="7"/>
        <v>Review defect trend and containment</v>
      </c>
    </row>
    <row r="75" spans="1:19" x14ac:dyDescent="0.35">
      <c r="A75" t="s">
        <v>813</v>
      </c>
      <c r="B75" s="5">
        <v>46110</v>
      </c>
      <c r="C75" t="s">
        <v>24</v>
      </c>
      <c r="D75" t="s">
        <v>31</v>
      </c>
      <c r="E75" t="s">
        <v>40</v>
      </c>
      <c r="F75" t="s">
        <v>45</v>
      </c>
      <c r="G75" t="s">
        <v>739</v>
      </c>
      <c r="H75" t="s">
        <v>96</v>
      </c>
      <c r="I75" t="s">
        <v>732</v>
      </c>
      <c r="J75">
        <v>1</v>
      </c>
      <c r="K75">
        <v>2</v>
      </c>
      <c r="L75" t="s">
        <v>733</v>
      </c>
      <c r="M75" s="8">
        <v>1899805</v>
      </c>
      <c r="N75">
        <v>74</v>
      </c>
      <c r="O75">
        <v>12</v>
      </c>
      <c r="P75">
        <f t="shared" si="4"/>
        <v>9</v>
      </c>
      <c r="Q75" t="str">
        <f t="shared" si="5"/>
        <v>Approaching Review</v>
      </c>
      <c r="R75" t="str">
        <f t="shared" si="6"/>
        <v>No</v>
      </c>
      <c r="S75" t="str">
        <f t="shared" si="7"/>
        <v>Review defect trend and containment</v>
      </c>
    </row>
    <row r="76" spans="1:19" x14ac:dyDescent="0.35">
      <c r="A76" t="s">
        <v>814</v>
      </c>
      <c r="B76" s="5">
        <v>46051</v>
      </c>
      <c r="C76" t="s">
        <v>23</v>
      </c>
      <c r="D76" t="s">
        <v>29</v>
      </c>
      <c r="E76" t="s">
        <v>36</v>
      </c>
      <c r="F76" t="s">
        <v>44</v>
      </c>
      <c r="G76" t="s">
        <v>742</v>
      </c>
      <c r="H76" t="s">
        <v>731</v>
      </c>
      <c r="I76" t="s">
        <v>747</v>
      </c>
      <c r="J76">
        <v>1</v>
      </c>
      <c r="K76">
        <v>5</v>
      </c>
      <c r="L76" t="s">
        <v>736</v>
      </c>
      <c r="M76" s="8">
        <v>115889</v>
      </c>
      <c r="N76">
        <v>25</v>
      </c>
      <c r="O76">
        <v>12</v>
      </c>
      <c r="P76">
        <f t="shared" si="4"/>
        <v>7</v>
      </c>
      <c r="Q76" t="str">
        <f t="shared" si="5"/>
        <v>Monitor</v>
      </c>
      <c r="R76" t="str">
        <f t="shared" si="6"/>
        <v>No</v>
      </c>
      <c r="S76" t="str">
        <f t="shared" si="7"/>
        <v>Continue monitoring</v>
      </c>
    </row>
    <row r="77" spans="1:19" x14ac:dyDescent="0.35">
      <c r="A77" t="s">
        <v>815</v>
      </c>
      <c r="B77" s="5">
        <v>46193</v>
      </c>
      <c r="C77" t="s">
        <v>24</v>
      </c>
      <c r="D77" t="s">
        <v>29</v>
      </c>
      <c r="E77" t="s">
        <v>37</v>
      </c>
      <c r="F77" t="s">
        <v>47</v>
      </c>
      <c r="G77" t="s">
        <v>730</v>
      </c>
      <c r="H77" t="s">
        <v>731</v>
      </c>
      <c r="I77" t="s">
        <v>735</v>
      </c>
      <c r="J77">
        <v>5</v>
      </c>
      <c r="K77">
        <v>4</v>
      </c>
      <c r="L77" t="s">
        <v>736</v>
      </c>
      <c r="M77" s="8">
        <v>697123</v>
      </c>
      <c r="N77">
        <v>39</v>
      </c>
      <c r="O77">
        <v>12</v>
      </c>
      <c r="P77">
        <f t="shared" si="4"/>
        <v>25</v>
      </c>
      <c r="Q77" t="str">
        <f t="shared" si="5"/>
        <v>Review Required</v>
      </c>
      <c r="R77" t="str">
        <f t="shared" si="6"/>
        <v>Yes</v>
      </c>
      <c r="S77" t="str">
        <f t="shared" si="7"/>
        <v>Escalate supplier readiness</v>
      </c>
    </row>
    <row r="78" spans="1:19" x14ac:dyDescent="0.35">
      <c r="A78" t="s">
        <v>816</v>
      </c>
      <c r="B78" s="5">
        <v>46132</v>
      </c>
      <c r="C78" t="s">
        <v>22</v>
      </c>
      <c r="D78" t="s">
        <v>32</v>
      </c>
      <c r="E78" t="s">
        <v>40</v>
      </c>
      <c r="F78" t="s">
        <v>42</v>
      </c>
      <c r="G78" t="s">
        <v>730</v>
      </c>
      <c r="H78" t="s">
        <v>731</v>
      </c>
      <c r="I78" t="s">
        <v>735</v>
      </c>
      <c r="J78">
        <v>2</v>
      </c>
      <c r="K78">
        <v>3</v>
      </c>
      <c r="L78" t="s">
        <v>745</v>
      </c>
      <c r="M78" s="8">
        <v>362301</v>
      </c>
      <c r="N78">
        <v>27</v>
      </c>
      <c r="O78">
        <v>12</v>
      </c>
      <c r="P78">
        <f t="shared" si="4"/>
        <v>11</v>
      </c>
      <c r="Q78" t="str">
        <f t="shared" si="5"/>
        <v>Approaching Review</v>
      </c>
      <c r="R78" t="str">
        <f t="shared" si="6"/>
        <v>Yes</v>
      </c>
      <c r="S78" t="str">
        <f t="shared" si="7"/>
        <v>Escalate supplier readiness</v>
      </c>
    </row>
    <row r="79" spans="1:19" x14ac:dyDescent="0.35">
      <c r="A79" t="s">
        <v>817</v>
      </c>
      <c r="B79" s="5">
        <v>46045</v>
      </c>
      <c r="C79" t="s">
        <v>25</v>
      </c>
      <c r="D79" t="s">
        <v>30</v>
      </c>
      <c r="E79" t="s">
        <v>40</v>
      </c>
      <c r="F79" t="s">
        <v>47</v>
      </c>
      <c r="G79" t="s">
        <v>730</v>
      </c>
      <c r="H79" t="s">
        <v>731</v>
      </c>
      <c r="I79" t="s">
        <v>735</v>
      </c>
      <c r="J79">
        <v>3</v>
      </c>
      <c r="K79">
        <v>3</v>
      </c>
      <c r="L79" t="s">
        <v>743</v>
      </c>
      <c r="M79" s="8">
        <v>1924097</v>
      </c>
      <c r="N79">
        <v>53</v>
      </c>
      <c r="O79">
        <v>12</v>
      </c>
      <c r="P79">
        <f t="shared" si="4"/>
        <v>14</v>
      </c>
      <c r="Q79" t="str">
        <f t="shared" si="5"/>
        <v>Review Required</v>
      </c>
      <c r="R79" t="str">
        <f t="shared" si="6"/>
        <v>Yes</v>
      </c>
      <c r="S79" t="str">
        <f t="shared" si="7"/>
        <v>Escalate supplier readiness</v>
      </c>
    </row>
    <row r="80" spans="1:19" x14ac:dyDescent="0.35">
      <c r="A80" t="s">
        <v>818</v>
      </c>
      <c r="B80" s="5">
        <v>46070</v>
      </c>
      <c r="C80" t="s">
        <v>23</v>
      </c>
      <c r="D80" t="s">
        <v>30</v>
      </c>
      <c r="E80" t="s">
        <v>40</v>
      </c>
      <c r="F80" t="s">
        <v>44</v>
      </c>
      <c r="G80" t="s">
        <v>730</v>
      </c>
      <c r="H80" t="s">
        <v>731</v>
      </c>
      <c r="I80" t="s">
        <v>735</v>
      </c>
      <c r="J80">
        <v>2</v>
      </c>
      <c r="K80">
        <v>3</v>
      </c>
      <c r="L80" t="s">
        <v>736</v>
      </c>
      <c r="M80" s="8">
        <v>1042853</v>
      </c>
      <c r="N80">
        <v>66</v>
      </c>
      <c r="O80">
        <v>12</v>
      </c>
      <c r="P80">
        <f t="shared" si="4"/>
        <v>11</v>
      </c>
      <c r="Q80" t="str">
        <f t="shared" si="5"/>
        <v>Approaching Review</v>
      </c>
      <c r="R80" t="str">
        <f t="shared" si="6"/>
        <v>No</v>
      </c>
      <c r="S80" t="str">
        <f t="shared" si="7"/>
        <v>Escalate supplier readiness</v>
      </c>
    </row>
    <row r="81" spans="1:19" x14ac:dyDescent="0.35">
      <c r="A81" t="s">
        <v>819</v>
      </c>
      <c r="B81" s="5">
        <v>46043</v>
      </c>
      <c r="C81" t="s">
        <v>23</v>
      </c>
      <c r="D81" t="s">
        <v>31</v>
      </c>
      <c r="E81" t="s">
        <v>37</v>
      </c>
      <c r="F81" t="s">
        <v>46</v>
      </c>
      <c r="G81" t="s">
        <v>739</v>
      </c>
      <c r="H81" t="s">
        <v>731</v>
      </c>
      <c r="I81" t="s">
        <v>735</v>
      </c>
      <c r="J81">
        <v>4</v>
      </c>
      <c r="K81">
        <v>3</v>
      </c>
      <c r="L81" t="s">
        <v>745</v>
      </c>
      <c r="M81" s="8">
        <v>2113116</v>
      </c>
      <c r="N81">
        <v>12</v>
      </c>
      <c r="O81">
        <v>12</v>
      </c>
      <c r="P81">
        <f t="shared" si="4"/>
        <v>22</v>
      </c>
      <c r="Q81" t="str">
        <f t="shared" si="5"/>
        <v>Review Required</v>
      </c>
      <c r="R81" t="str">
        <f t="shared" si="6"/>
        <v>Yes</v>
      </c>
      <c r="S81" t="str">
        <f t="shared" si="7"/>
        <v>Review defect trend and containment</v>
      </c>
    </row>
    <row r="82" spans="1:19" x14ac:dyDescent="0.35">
      <c r="A82" t="s">
        <v>820</v>
      </c>
      <c r="B82" s="5">
        <v>46305</v>
      </c>
      <c r="C82" t="s">
        <v>25</v>
      </c>
      <c r="D82" t="s">
        <v>29</v>
      </c>
      <c r="E82" t="s">
        <v>36</v>
      </c>
      <c r="F82" t="s">
        <v>45</v>
      </c>
      <c r="G82" t="s">
        <v>742</v>
      </c>
      <c r="H82" t="s">
        <v>731</v>
      </c>
      <c r="I82" t="s">
        <v>747</v>
      </c>
      <c r="J82">
        <v>3</v>
      </c>
      <c r="K82">
        <v>1</v>
      </c>
      <c r="L82" t="s">
        <v>733</v>
      </c>
      <c r="M82" s="8">
        <v>229845</v>
      </c>
      <c r="N82">
        <v>71</v>
      </c>
      <c r="O82">
        <v>12</v>
      </c>
      <c r="P82">
        <f t="shared" si="4"/>
        <v>5</v>
      </c>
      <c r="Q82" t="str">
        <f t="shared" si="5"/>
        <v>Monitor</v>
      </c>
      <c r="R82" t="str">
        <f t="shared" si="6"/>
        <v>No</v>
      </c>
      <c r="S82" t="str">
        <f t="shared" si="7"/>
        <v>Continue monitoring</v>
      </c>
    </row>
    <row r="83" spans="1:19" x14ac:dyDescent="0.35">
      <c r="A83" t="s">
        <v>821</v>
      </c>
      <c r="B83" s="5">
        <v>46174</v>
      </c>
      <c r="C83" t="s">
        <v>22</v>
      </c>
      <c r="D83" t="s">
        <v>30</v>
      </c>
      <c r="E83" t="s">
        <v>34</v>
      </c>
      <c r="F83" t="s">
        <v>42</v>
      </c>
      <c r="G83" t="s">
        <v>742</v>
      </c>
      <c r="H83" t="s">
        <v>822</v>
      </c>
      <c r="I83" t="s">
        <v>735</v>
      </c>
      <c r="J83">
        <v>2</v>
      </c>
      <c r="K83">
        <v>2</v>
      </c>
      <c r="L83" t="s">
        <v>736</v>
      </c>
      <c r="M83" s="8">
        <v>906441</v>
      </c>
      <c r="N83">
        <v>12</v>
      </c>
      <c r="O83">
        <v>12</v>
      </c>
      <c r="P83">
        <f t="shared" si="4"/>
        <v>14</v>
      </c>
      <c r="Q83" t="str">
        <f t="shared" si="5"/>
        <v>Review Required</v>
      </c>
      <c r="R83" t="str">
        <f t="shared" si="6"/>
        <v>Yes</v>
      </c>
      <c r="S83" t="str">
        <f t="shared" si="7"/>
        <v>Validate calibration evidence</v>
      </c>
    </row>
    <row r="84" spans="1:19" x14ac:dyDescent="0.35">
      <c r="A84" t="s">
        <v>823</v>
      </c>
      <c r="B84" s="5">
        <v>46212</v>
      </c>
      <c r="C84" t="s">
        <v>24</v>
      </c>
      <c r="D84" t="s">
        <v>32</v>
      </c>
      <c r="E84" t="s">
        <v>39</v>
      </c>
      <c r="F84" t="s">
        <v>47</v>
      </c>
      <c r="G84" t="s">
        <v>742</v>
      </c>
      <c r="H84" t="s">
        <v>731</v>
      </c>
      <c r="I84" t="s">
        <v>732</v>
      </c>
      <c r="J84">
        <v>5</v>
      </c>
      <c r="K84">
        <v>4</v>
      </c>
      <c r="L84" t="s">
        <v>733</v>
      </c>
      <c r="M84" s="8">
        <v>1479103</v>
      </c>
      <c r="N84">
        <v>51</v>
      </c>
      <c r="O84">
        <v>12</v>
      </c>
      <c r="P84">
        <f t="shared" si="4"/>
        <v>20</v>
      </c>
      <c r="Q84" t="str">
        <f t="shared" si="5"/>
        <v>Review Required</v>
      </c>
      <c r="R84" t="str">
        <f t="shared" si="6"/>
        <v>Yes</v>
      </c>
      <c r="S84" t="str">
        <f t="shared" si="7"/>
        <v>Continue monitoring</v>
      </c>
    </row>
    <row r="85" spans="1:19" x14ac:dyDescent="0.35">
      <c r="A85" t="s">
        <v>824</v>
      </c>
      <c r="B85" s="5">
        <v>46049</v>
      </c>
      <c r="C85" t="s">
        <v>25</v>
      </c>
      <c r="D85" t="s">
        <v>27</v>
      </c>
      <c r="E85" t="s">
        <v>40</v>
      </c>
      <c r="F85" t="s">
        <v>47</v>
      </c>
      <c r="G85" t="s">
        <v>739</v>
      </c>
      <c r="H85" t="s">
        <v>731</v>
      </c>
      <c r="I85" t="s">
        <v>732</v>
      </c>
      <c r="J85">
        <v>4</v>
      </c>
      <c r="K85">
        <v>1</v>
      </c>
      <c r="L85" t="s">
        <v>733</v>
      </c>
      <c r="M85" s="8">
        <v>2327408</v>
      </c>
      <c r="N85">
        <v>11</v>
      </c>
      <c r="O85">
        <v>12</v>
      </c>
      <c r="P85">
        <f t="shared" si="4"/>
        <v>9</v>
      </c>
      <c r="Q85" t="str">
        <f t="shared" si="5"/>
        <v>Approaching Review</v>
      </c>
      <c r="R85" t="str">
        <f t="shared" si="6"/>
        <v>No</v>
      </c>
      <c r="S85" t="str">
        <f t="shared" si="7"/>
        <v>Review defect trend and containment</v>
      </c>
    </row>
    <row r="86" spans="1:19" x14ac:dyDescent="0.35">
      <c r="A86" t="s">
        <v>825</v>
      </c>
      <c r="B86" s="5">
        <v>46241</v>
      </c>
      <c r="C86" t="s">
        <v>24</v>
      </c>
      <c r="D86" t="s">
        <v>27</v>
      </c>
      <c r="E86" t="s">
        <v>38</v>
      </c>
      <c r="F86" t="s">
        <v>47</v>
      </c>
      <c r="G86" t="s">
        <v>739</v>
      </c>
      <c r="H86" t="s">
        <v>731</v>
      </c>
      <c r="I86" t="s">
        <v>747</v>
      </c>
      <c r="J86">
        <v>4</v>
      </c>
      <c r="K86">
        <v>4</v>
      </c>
      <c r="L86" t="s">
        <v>745</v>
      </c>
      <c r="M86" s="8">
        <v>1823818</v>
      </c>
      <c r="N86">
        <v>33</v>
      </c>
      <c r="O86">
        <v>12</v>
      </c>
      <c r="P86">
        <f t="shared" si="4"/>
        <v>23</v>
      </c>
      <c r="Q86" t="str">
        <f t="shared" si="5"/>
        <v>Review Required</v>
      </c>
      <c r="R86" t="str">
        <f t="shared" si="6"/>
        <v>Yes</v>
      </c>
      <c r="S86" t="str">
        <f t="shared" si="7"/>
        <v>Review defect trend and containment</v>
      </c>
    </row>
    <row r="87" spans="1:19" x14ac:dyDescent="0.35">
      <c r="A87" t="s">
        <v>826</v>
      </c>
      <c r="B87" s="5">
        <v>46257</v>
      </c>
      <c r="C87" t="s">
        <v>23</v>
      </c>
      <c r="D87" t="s">
        <v>32</v>
      </c>
      <c r="E87" t="s">
        <v>37</v>
      </c>
      <c r="F87" t="s">
        <v>48</v>
      </c>
      <c r="G87" t="s">
        <v>739</v>
      </c>
      <c r="H87" t="s">
        <v>96</v>
      </c>
      <c r="I87" t="s">
        <v>747</v>
      </c>
      <c r="J87">
        <v>1</v>
      </c>
      <c r="K87">
        <v>1</v>
      </c>
      <c r="L87" t="s">
        <v>745</v>
      </c>
      <c r="M87" s="8">
        <v>1319944</v>
      </c>
      <c r="N87">
        <v>27</v>
      </c>
      <c r="O87">
        <v>12</v>
      </c>
      <c r="P87">
        <f t="shared" si="4"/>
        <v>10</v>
      </c>
      <c r="Q87" t="str">
        <f t="shared" si="5"/>
        <v>Approaching Review</v>
      </c>
      <c r="R87" t="str">
        <f t="shared" si="6"/>
        <v>Yes</v>
      </c>
      <c r="S87" t="str">
        <f t="shared" si="7"/>
        <v>Review defect trend and containment</v>
      </c>
    </row>
    <row r="88" spans="1:19" x14ac:dyDescent="0.35">
      <c r="A88" t="s">
        <v>827</v>
      </c>
      <c r="B88" s="5">
        <v>46097</v>
      </c>
      <c r="C88" t="s">
        <v>24</v>
      </c>
      <c r="D88" t="s">
        <v>32</v>
      </c>
      <c r="E88" t="s">
        <v>34</v>
      </c>
      <c r="F88" t="s">
        <v>42</v>
      </c>
      <c r="G88" t="s">
        <v>739</v>
      </c>
      <c r="H88" t="s">
        <v>731</v>
      </c>
      <c r="I88" t="s">
        <v>732</v>
      </c>
      <c r="J88">
        <v>4</v>
      </c>
      <c r="K88">
        <v>2</v>
      </c>
      <c r="L88" t="s">
        <v>736</v>
      </c>
      <c r="M88" s="8">
        <v>1501774</v>
      </c>
      <c r="N88">
        <v>71</v>
      </c>
      <c r="O88">
        <v>12</v>
      </c>
      <c r="P88">
        <f t="shared" si="4"/>
        <v>13</v>
      </c>
      <c r="Q88" t="str">
        <f t="shared" si="5"/>
        <v>Review Required</v>
      </c>
      <c r="R88" t="str">
        <f t="shared" si="6"/>
        <v>Yes</v>
      </c>
      <c r="S88" t="str">
        <f t="shared" si="7"/>
        <v>Review defect trend and containment</v>
      </c>
    </row>
    <row r="89" spans="1:19" x14ac:dyDescent="0.35">
      <c r="A89" t="s">
        <v>828</v>
      </c>
      <c r="B89" s="5">
        <v>46180</v>
      </c>
      <c r="C89" t="s">
        <v>24</v>
      </c>
      <c r="D89" t="s">
        <v>27</v>
      </c>
      <c r="E89" t="s">
        <v>40</v>
      </c>
      <c r="F89" t="s">
        <v>46</v>
      </c>
      <c r="G89" t="s">
        <v>742</v>
      </c>
      <c r="H89" t="s">
        <v>731</v>
      </c>
      <c r="I89" t="s">
        <v>747</v>
      </c>
      <c r="J89">
        <v>4</v>
      </c>
      <c r="K89">
        <v>2</v>
      </c>
      <c r="L89" t="s">
        <v>736</v>
      </c>
      <c r="M89" s="8">
        <v>90097</v>
      </c>
      <c r="N89">
        <v>63</v>
      </c>
      <c r="O89">
        <v>12</v>
      </c>
      <c r="P89">
        <f t="shared" si="4"/>
        <v>10</v>
      </c>
      <c r="Q89" t="str">
        <f t="shared" si="5"/>
        <v>Approaching Review</v>
      </c>
      <c r="R89" t="str">
        <f t="shared" si="6"/>
        <v>No</v>
      </c>
      <c r="S89" t="str">
        <f t="shared" si="7"/>
        <v>Continue monitoring</v>
      </c>
    </row>
    <row r="90" spans="1:19" x14ac:dyDescent="0.35">
      <c r="A90" t="s">
        <v>829</v>
      </c>
      <c r="B90" s="5">
        <v>46073</v>
      </c>
      <c r="C90" t="s">
        <v>22</v>
      </c>
      <c r="D90" t="s">
        <v>31</v>
      </c>
      <c r="E90" t="s">
        <v>37</v>
      </c>
      <c r="F90" t="s">
        <v>44</v>
      </c>
      <c r="G90" t="s">
        <v>742</v>
      </c>
      <c r="H90" t="s">
        <v>731</v>
      </c>
      <c r="I90" t="s">
        <v>735</v>
      </c>
      <c r="J90">
        <v>5</v>
      </c>
      <c r="K90">
        <v>1</v>
      </c>
      <c r="L90" t="s">
        <v>736</v>
      </c>
      <c r="M90" s="8">
        <v>1776304</v>
      </c>
      <c r="N90">
        <v>69</v>
      </c>
      <c r="O90">
        <v>12</v>
      </c>
      <c r="P90">
        <f t="shared" si="4"/>
        <v>10</v>
      </c>
      <c r="Q90" t="str">
        <f t="shared" si="5"/>
        <v>Approaching Review</v>
      </c>
      <c r="R90" t="str">
        <f t="shared" si="6"/>
        <v>No</v>
      </c>
      <c r="S90" t="str">
        <f t="shared" si="7"/>
        <v>Escalate supplier readiness</v>
      </c>
    </row>
    <row r="91" spans="1:19" x14ac:dyDescent="0.35">
      <c r="A91" t="s">
        <v>830</v>
      </c>
      <c r="B91" s="5">
        <v>46064</v>
      </c>
      <c r="C91" t="s">
        <v>25</v>
      </c>
      <c r="D91" t="s">
        <v>31</v>
      </c>
      <c r="E91" t="s">
        <v>37</v>
      </c>
      <c r="F91" t="s">
        <v>47</v>
      </c>
      <c r="G91" t="s">
        <v>730</v>
      </c>
      <c r="H91" t="s">
        <v>731</v>
      </c>
      <c r="I91" t="s">
        <v>747</v>
      </c>
      <c r="J91">
        <v>5</v>
      </c>
      <c r="K91">
        <v>2</v>
      </c>
      <c r="L91" t="s">
        <v>736</v>
      </c>
      <c r="M91" s="8">
        <v>2215575</v>
      </c>
      <c r="N91">
        <v>49</v>
      </c>
      <c r="O91">
        <v>12</v>
      </c>
      <c r="P91">
        <f t="shared" si="4"/>
        <v>12</v>
      </c>
      <c r="Q91" t="str">
        <f t="shared" si="5"/>
        <v>Review Required</v>
      </c>
      <c r="R91" t="str">
        <f t="shared" si="6"/>
        <v>Yes</v>
      </c>
      <c r="S91" t="str">
        <f t="shared" si="7"/>
        <v>Continue monitoring</v>
      </c>
    </row>
    <row r="92" spans="1:19" x14ac:dyDescent="0.35">
      <c r="A92" t="s">
        <v>831</v>
      </c>
      <c r="B92" s="5">
        <v>46093</v>
      </c>
      <c r="C92" t="s">
        <v>25</v>
      </c>
      <c r="D92" t="s">
        <v>27</v>
      </c>
      <c r="E92" t="s">
        <v>40</v>
      </c>
      <c r="F92" t="s">
        <v>42</v>
      </c>
      <c r="G92" t="s">
        <v>739</v>
      </c>
      <c r="H92" t="s">
        <v>731</v>
      </c>
      <c r="I92" t="s">
        <v>732</v>
      </c>
      <c r="J92">
        <v>3</v>
      </c>
      <c r="K92">
        <v>5</v>
      </c>
      <c r="L92" t="s">
        <v>743</v>
      </c>
      <c r="M92" s="8">
        <v>1226186</v>
      </c>
      <c r="N92">
        <v>72</v>
      </c>
      <c r="O92">
        <v>12</v>
      </c>
      <c r="P92">
        <f t="shared" si="4"/>
        <v>20</v>
      </c>
      <c r="Q92" t="str">
        <f t="shared" si="5"/>
        <v>Review Required</v>
      </c>
      <c r="R92" t="str">
        <f t="shared" si="6"/>
        <v>Yes</v>
      </c>
      <c r="S92" t="str">
        <f t="shared" si="7"/>
        <v>Review defect trend and containment</v>
      </c>
    </row>
    <row r="93" spans="1:19" x14ac:dyDescent="0.35">
      <c r="A93" t="s">
        <v>832</v>
      </c>
      <c r="B93" s="5">
        <v>46126</v>
      </c>
      <c r="C93" t="s">
        <v>25</v>
      </c>
      <c r="D93" t="s">
        <v>32</v>
      </c>
      <c r="E93" t="s">
        <v>34</v>
      </c>
      <c r="F93" t="s">
        <v>48</v>
      </c>
      <c r="G93" t="s">
        <v>730</v>
      </c>
      <c r="H93" t="s">
        <v>731</v>
      </c>
      <c r="I93" t="s">
        <v>735</v>
      </c>
      <c r="J93">
        <v>4</v>
      </c>
      <c r="K93">
        <v>3</v>
      </c>
      <c r="L93" t="s">
        <v>733</v>
      </c>
      <c r="M93" s="8">
        <v>1653002</v>
      </c>
      <c r="N93">
        <v>47</v>
      </c>
      <c r="O93">
        <v>12</v>
      </c>
      <c r="P93">
        <f t="shared" si="4"/>
        <v>17</v>
      </c>
      <c r="Q93" t="str">
        <f t="shared" si="5"/>
        <v>Review Required</v>
      </c>
      <c r="R93" t="str">
        <f t="shared" si="6"/>
        <v>Yes</v>
      </c>
      <c r="S93" t="str">
        <f t="shared" si="7"/>
        <v>Escalate supplier readiness</v>
      </c>
    </row>
    <row r="94" spans="1:19" x14ac:dyDescent="0.35">
      <c r="A94" t="s">
        <v>833</v>
      </c>
      <c r="B94" s="5">
        <v>46193</v>
      </c>
      <c r="C94" t="s">
        <v>25</v>
      </c>
      <c r="D94" t="s">
        <v>27</v>
      </c>
      <c r="E94" t="s">
        <v>34</v>
      </c>
      <c r="F94" t="s">
        <v>44</v>
      </c>
      <c r="G94" t="s">
        <v>730</v>
      </c>
      <c r="H94" t="s">
        <v>96</v>
      </c>
      <c r="I94" t="s">
        <v>747</v>
      </c>
      <c r="J94">
        <v>4</v>
      </c>
      <c r="K94">
        <v>1</v>
      </c>
      <c r="L94" t="s">
        <v>736</v>
      </c>
      <c r="M94" s="8">
        <v>2491586</v>
      </c>
      <c r="N94">
        <v>75</v>
      </c>
      <c r="O94">
        <v>12</v>
      </c>
      <c r="P94">
        <f t="shared" si="4"/>
        <v>8</v>
      </c>
      <c r="Q94" t="str">
        <f t="shared" si="5"/>
        <v>Monitor</v>
      </c>
      <c r="R94" t="str">
        <f t="shared" si="6"/>
        <v>No</v>
      </c>
      <c r="S94" t="str">
        <f t="shared" si="7"/>
        <v>Continue monitoring</v>
      </c>
    </row>
    <row r="95" spans="1:19" x14ac:dyDescent="0.35">
      <c r="A95" t="s">
        <v>834</v>
      </c>
      <c r="B95" s="5">
        <v>46090</v>
      </c>
      <c r="C95" t="s">
        <v>25</v>
      </c>
      <c r="D95" t="s">
        <v>32</v>
      </c>
      <c r="E95" t="s">
        <v>36</v>
      </c>
      <c r="F95" t="s">
        <v>46</v>
      </c>
      <c r="G95" t="s">
        <v>742</v>
      </c>
      <c r="H95" t="s">
        <v>731</v>
      </c>
      <c r="I95" t="s">
        <v>732</v>
      </c>
      <c r="J95">
        <v>1</v>
      </c>
      <c r="K95">
        <v>2</v>
      </c>
      <c r="L95" t="s">
        <v>736</v>
      </c>
      <c r="M95" s="8">
        <v>1980533</v>
      </c>
      <c r="N95">
        <v>31</v>
      </c>
      <c r="O95">
        <v>12</v>
      </c>
      <c r="P95">
        <f t="shared" si="4"/>
        <v>2</v>
      </c>
      <c r="Q95" t="str">
        <f t="shared" si="5"/>
        <v>Monitor</v>
      </c>
      <c r="R95" t="str">
        <f t="shared" si="6"/>
        <v>No</v>
      </c>
      <c r="S95" t="str">
        <f t="shared" si="7"/>
        <v>Continue monitoring</v>
      </c>
    </row>
    <row r="96" spans="1:19" x14ac:dyDescent="0.35">
      <c r="A96" t="s">
        <v>835</v>
      </c>
      <c r="B96" s="5">
        <v>46297</v>
      </c>
      <c r="C96" t="s">
        <v>20</v>
      </c>
      <c r="D96" t="s">
        <v>30</v>
      </c>
      <c r="E96" t="s">
        <v>36</v>
      </c>
      <c r="F96" t="s">
        <v>46</v>
      </c>
      <c r="G96" t="s">
        <v>742</v>
      </c>
      <c r="H96" t="s">
        <v>96</v>
      </c>
      <c r="I96" t="s">
        <v>735</v>
      </c>
      <c r="J96">
        <v>2</v>
      </c>
      <c r="K96">
        <v>3</v>
      </c>
      <c r="L96" t="s">
        <v>743</v>
      </c>
      <c r="M96" s="8">
        <v>1120169</v>
      </c>
      <c r="N96">
        <v>49</v>
      </c>
      <c r="O96">
        <v>12</v>
      </c>
      <c r="P96">
        <f t="shared" si="4"/>
        <v>13</v>
      </c>
      <c r="Q96" t="str">
        <f t="shared" si="5"/>
        <v>Review Required</v>
      </c>
      <c r="R96" t="str">
        <f t="shared" si="6"/>
        <v>Yes</v>
      </c>
      <c r="S96" t="str">
        <f t="shared" si="7"/>
        <v>Escalate supplier readiness</v>
      </c>
    </row>
    <row r="97" spans="1:19" x14ac:dyDescent="0.35">
      <c r="A97" t="s">
        <v>836</v>
      </c>
      <c r="B97" s="5">
        <v>46240</v>
      </c>
      <c r="C97" t="s">
        <v>25</v>
      </c>
      <c r="D97" t="s">
        <v>29</v>
      </c>
      <c r="E97" t="s">
        <v>34</v>
      </c>
      <c r="F97" t="s">
        <v>47</v>
      </c>
      <c r="G97" t="s">
        <v>742</v>
      </c>
      <c r="H97" t="s">
        <v>731</v>
      </c>
      <c r="I97" t="s">
        <v>747</v>
      </c>
      <c r="J97">
        <v>5</v>
      </c>
      <c r="K97">
        <v>2</v>
      </c>
      <c r="L97" t="s">
        <v>743</v>
      </c>
      <c r="M97" s="8">
        <v>1435590</v>
      </c>
      <c r="N97">
        <v>28</v>
      </c>
      <c r="O97">
        <v>12</v>
      </c>
      <c r="P97">
        <f t="shared" si="4"/>
        <v>12</v>
      </c>
      <c r="Q97" t="str">
        <f t="shared" si="5"/>
        <v>Review Required</v>
      </c>
      <c r="R97" t="str">
        <f t="shared" si="6"/>
        <v>Yes</v>
      </c>
      <c r="S97" t="str">
        <f t="shared" si="7"/>
        <v>Continue monitoring</v>
      </c>
    </row>
    <row r="98" spans="1:19" x14ac:dyDescent="0.35">
      <c r="A98" t="s">
        <v>837</v>
      </c>
      <c r="B98" s="5">
        <v>46180</v>
      </c>
      <c r="C98" t="s">
        <v>24</v>
      </c>
      <c r="D98" t="s">
        <v>27</v>
      </c>
      <c r="E98" t="s">
        <v>34</v>
      </c>
      <c r="F98" t="s">
        <v>42</v>
      </c>
      <c r="G98" t="s">
        <v>739</v>
      </c>
      <c r="H98" t="s">
        <v>731</v>
      </c>
      <c r="I98" t="s">
        <v>747</v>
      </c>
      <c r="J98">
        <v>3</v>
      </c>
      <c r="K98">
        <v>1</v>
      </c>
      <c r="L98" t="s">
        <v>736</v>
      </c>
      <c r="M98" s="8">
        <v>232574</v>
      </c>
      <c r="N98">
        <v>13</v>
      </c>
      <c r="O98">
        <v>12</v>
      </c>
      <c r="P98">
        <f t="shared" si="4"/>
        <v>10</v>
      </c>
      <c r="Q98" t="str">
        <f t="shared" si="5"/>
        <v>Approaching Review</v>
      </c>
      <c r="R98" t="str">
        <f t="shared" si="6"/>
        <v>No</v>
      </c>
      <c r="S98" t="str">
        <f t="shared" si="7"/>
        <v>Review defect trend and containment</v>
      </c>
    </row>
    <row r="99" spans="1:19" x14ac:dyDescent="0.35">
      <c r="A99" t="s">
        <v>838</v>
      </c>
      <c r="B99" s="5">
        <v>46058</v>
      </c>
      <c r="C99" t="s">
        <v>22</v>
      </c>
      <c r="D99" t="s">
        <v>30</v>
      </c>
      <c r="E99" t="s">
        <v>40</v>
      </c>
      <c r="F99" t="s">
        <v>45</v>
      </c>
      <c r="G99" t="s">
        <v>742</v>
      </c>
      <c r="H99" t="s">
        <v>731</v>
      </c>
      <c r="I99" t="s">
        <v>735</v>
      </c>
      <c r="J99">
        <v>4</v>
      </c>
      <c r="K99">
        <v>4</v>
      </c>
      <c r="L99" t="s">
        <v>736</v>
      </c>
      <c r="M99" s="8">
        <v>2200331</v>
      </c>
      <c r="N99">
        <v>32</v>
      </c>
      <c r="O99">
        <v>12</v>
      </c>
      <c r="P99">
        <f t="shared" si="4"/>
        <v>21</v>
      </c>
      <c r="Q99" t="str">
        <f t="shared" si="5"/>
        <v>Review Required</v>
      </c>
      <c r="R99" t="str">
        <f t="shared" si="6"/>
        <v>Yes</v>
      </c>
      <c r="S99" t="str">
        <f t="shared" si="7"/>
        <v>Escalate supplier readiness</v>
      </c>
    </row>
    <row r="100" spans="1:19" x14ac:dyDescent="0.35">
      <c r="A100" t="s">
        <v>839</v>
      </c>
      <c r="B100" s="5">
        <v>46257</v>
      </c>
      <c r="C100" t="s">
        <v>25</v>
      </c>
      <c r="D100" t="s">
        <v>32</v>
      </c>
      <c r="E100" t="s">
        <v>39</v>
      </c>
      <c r="F100" t="s">
        <v>44</v>
      </c>
      <c r="G100" t="s">
        <v>730</v>
      </c>
      <c r="H100" t="s">
        <v>731</v>
      </c>
      <c r="I100" t="s">
        <v>747</v>
      </c>
      <c r="J100">
        <v>2</v>
      </c>
      <c r="K100">
        <v>2</v>
      </c>
      <c r="L100" t="s">
        <v>736</v>
      </c>
      <c r="M100" s="8">
        <v>910616</v>
      </c>
      <c r="N100">
        <v>41</v>
      </c>
      <c r="O100">
        <v>12</v>
      </c>
      <c r="P100">
        <f t="shared" si="4"/>
        <v>6</v>
      </c>
      <c r="Q100" t="str">
        <f t="shared" si="5"/>
        <v>Monitor</v>
      </c>
      <c r="R100" t="str">
        <f t="shared" si="6"/>
        <v>No</v>
      </c>
      <c r="S100" t="str">
        <f t="shared" si="7"/>
        <v>Continue monitoring</v>
      </c>
    </row>
    <row r="101" spans="1:19" x14ac:dyDescent="0.35">
      <c r="A101" t="s">
        <v>840</v>
      </c>
      <c r="B101" s="5">
        <v>46123</v>
      </c>
      <c r="C101" t="s">
        <v>23</v>
      </c>
      <c r="D101" t="s">
        <v>32</v>
      </c>
      <c r="E101" t="s">
        <v>39</v>
      </c>
      <c r="F101" t="s">
        <v>46</v>
      </c>
      <c r="G101" t="s">
        <v>730</v>
      </c>
      <c r="H101" t="s">
        <v>96</v>
      </c>
      <c r="I101" t="s">
        <v>735</v>
      </c>
      <c r="J101">
        <v>2</v>
      </c>
      <c r="K101">
        <v>3</v>
      </c>
      <c r="L101" t="s">
        <v>743</v>
      </c>
      <c r="M101" s="8">
        <v>1747342</v>
      </c>
      <c r="N101">
        <v>28</v>
      </c>
      <c r="O101">
        <v>12</v>
      </c>
      <c r="P101">
        <f t="shared" si="4"/>
        <v>13</v>
      </c>
      <c r="Q101" t="str">
        <f t="shared" si="5"/>
        <v>Review Required</v>
      </c>
      <c r="R101" t="str">
        <f t="shared" si="6"/>
        <v>Yes</v>
      </c>
      <c r="S101" t="str">
        <f t="shared" si="7"/>
        <v>Escalate supplier readiness</v>
      </c>
    </row>
    <row r="102" spans="1:19" x14ac:dyDescent="0.35">
      <c r="A102" t="s">
        <v>841</v>
      </c>
      <c r="B102" s="5">
        <v>46236</v>
      </c>
      <c r="C102" t="s">
        <v>22</v>
      </c>
      <c r="D102" t="s">
        <v>30</v>
      </c>
      <c r="E102" t="s">
        <v>36</v>
      </c>
      <c r="F102" t="s">
        <v>47</v>
      </c>
      <c r="G102" t="s">
        <v>730</v>
      </c>
      <c r="H102" t="s">
        <v>731</v>
      </c>
      <c r="I102" t="s">
        <v>732</v>
      </c>
      <c r="J102">
        <v>5</v>
      </c>
      <c r="K102">
        <v>4</v>
      </c>
      <c r="L102" t="s">
        <v>736</v>
      </c>
      <c r="M102" s="8">
        <v>1475953</v>
      </c>
      <c r="N102">
        <v>7</v>
      </c>
      <c r="O102">
        <v>12</v>
      </c>
      <c r="P102">
        <f t="shared" si="4"/>
        <v>20</v>
      </c>
      <c r="Q102" t="str">
        <f t="shared" si="5"/>
        <v>Review Required</v>
      </c>
      <c r="R102" t="str">
        <f t="shared" si="6"/>
        <v>Yes</v>
      </c>
      <c r="S102" t="str">
        <f t="shared" si="7"/>
        <v>Continue monitoring</v>
      </c>
    </row>
    <row r="103" spans="1:19" x14ac:dyDescent="0.35">
      <c r="A103" t="s">
        <v>842</v>
      </c>
      <c r="B103" s="5">
        <v>46157</v>
      </c>
      <c r="C103" t="s">
        <v>23</v>
      </c>
      <c r="D103" t="s">
        <v>31</v>
      </c>
      <c r="E103" t="s">
        <v>39</v>
      </c>
      <c r="F103" t="s">
        <v>45</v>
      </c>
      <c r="G103" t="s">
        <v>739</v>
      </c>
      <c r="H103" t="s">
        <v>96</v>
      </c>
      <c r="I103" t="s">
        <v>732</v>
      </c>
      <c r="J103">
        <v>2</v>
      </c>
      <c r="K103">
        <v>5</v>
      </c>
      <c r="L103" t="s">
        <v>743</v>
      </c>
      <c r="M103" s="8">
        <v>1403972</v>
      </c>
      <c r="N103">
        <v>13</v>
      </c>
      <c r="O103">
        <v>12</v>
      </c>
      <c r="P103">
        <f t="shared" si="4"/>
        <v>17</v>
      </c>
      <c r="Q103" t="str">
        <f t="shared" si="5"/>
        <v>Review Required</v>
      </c>
      <c r="R103" t="str">
        <f t="shared" si="6"/>
        <v>Yes</v>
      </c>
      <c r="S103" t="str">
        <f t="shared" si="7"/>
        <v>Review defect trend and containment</v>
      </c>
    </row>
    <row r="104" spans="1:19" x14ac:dyDescent="0.35">
      <c r="A104" t="s">
        <v>843</v>
      </c>
      <c r="B104" s="5">
        <v>46196</v>
      </c>
      <c r="C104" t="s">
        <v>20</v>
      </c>
      <c r="D104" t="s">
        <v>29</v>
      </c>
      <c r="E104" t="s">
        <v>38</v>
      </c>
      <c r="F104" t="s">
        <v>46</v>
      </c>
      <c r="G104" t="s">
        <v>742</v>
      </c>
      <c r="H104" t="s">
        <v>96</v>
      </c>
      <c r="I104" t="s">
        <v>747</v>
      </c>
      <c r="J104">
        <v>3</v>
      </c>
      <c r="K104">
        <v>1</v>
      </c>
      <c r="L104" t="s">
        <v>743</v>
      </c>
      <c r="M104" s="8">
        <v>405801</v>
      </c>
      <c r="N104">
        <v>7</v>
      </c>
      <c r="O104">
        <v>12</v>
      </c>
      <c r="P104">
        <f t="shared" si="4"/>
        <v>7</v>
      </c>
      <c r="Q104" t="str">
        <f t="shared" si="5"/>
        <v>Monitor</v>
      </c>
      <c r="R104" t="str">
        <f t="shared" si="6"/>
        <v>No</v>
      </c>
      <c r="S104" t="str">
        <f t="shared" si="7"/>
        <v>Continue monitoring</v>
      </c>
    </row>
    <row r="105" spans="1:19" x14ac:dyDescent="0.35">
      <c r="A105" t="s">
        <v>844</v>
      </c>
      <c r="B105" s="5">
        <v>46074</v>
      </c>
      <c r="C105" t="s">
        <v>24</v>
      </c>
      <c r="D105" t="s">
        <v>30</v>
      </c>
      <c r="E105" t="s">
        <v>39</v>
      </c>
      <c r="F105" t="s">
        <v>42</v>
      </c>
      <c r="G105" t="s">
        <v>730</v>
      </c>
      <c r="H105" t="s">
        <v>96</v>
      </c>
      <c r="I105" t="s">
        <v>747</v>
      </c>
      <c r="J105">
        <v>4</v>
      </c>
      <c r="K105">
        <v>5</v>
      </c>
      <c r="L105" t="s">
        <v>733</v>
      </c>
      <c r="M105" s="8">
        <v>2310249</v>
      </c>
      <c r="N105">
        <v>74</v>
      </c>
      <c r="O105">
        <v>12</v>
      </c>
      <c r="P105">
        <f t="shared" si="4"/>
        <v>24</v>
      </c>
      <c r="Q105" t="str">
        <f t="shared" si="5"/>
        <v>Review Required</v>
      </c>
      <c r="R105" t="str">
        <f t="shared" si="6"/>
        <v>Yes</v>
      </c>
      <c r="S105" t="str">
        <f t="shared" si="7"/>
        <v>Continue monitoring</v>
      </c>
    </row>
    <row r="106" spans="1:19" x14ac:dyDescent="0.35">
      <c r="A106" t="s">
        <v>845</v>
      </c>
      <c r="B106" s="5">
        <v>46184</v>
      </c>
      <c r="C106" t="s">
        <v>23</v>
      </c>
      <c r="D106" t="s">
        <v>32</v>
      </c>
      <c r="E106" t="s">
        <v>40</v>
      </c>
      <c r="F106" t="s">
        <v>42</v>
      </c>
      <c r="G106" t="s">
        <v>742</v>
      </c>
      <c r="H106" t="s">
        <v>731</v>
      </c>
      <c r="I106" t="s">
        <v>732</v>
      </c>
      <c r="J106">
        <v>3</v>
      </c>
      <c r="K106">
        <v>1</v>
      </c>
      <c r="L106" t="s">
        <v>745</v>
      </c>
      <c r="M106" s="8">
        <v>87799</v>
      </c>
      <c r="N106">
        <v>66</v>
      </c>
      <c r="O106">
        <v>12</v>
      </c>
      <c r="P106">
        <f t="shared" si="4"/>
        <v>3</v>
      </c>
      <c r="Q106" t="str">
        <f t="shared" si="5"/>
        <v>Monitor</v>
      </c>
      <c r="R106" t="str">
        <f t="shared" si="6"/>
        <v>Yes</v>
      </c>
      <c r="S106" t="str">
        <f t="shared" si="7"/>
        <v>Continue monitoring</v>
      </c>
    </row>
    <row r="107" spans="1:19" x14ac:dyDescent="0.35">
      <c r="A107" t="s">
        <v>846</v>
      </c>
      <c r="B107" s="5">
        <v>46065</v>
      </c>
      <c r="C107" t="s">
        <v>25</v>
      </c>
      <c r="D107" t="s">
        <v>29</v>
      </c>
      <c r="E107" t="s">
        <v>36</v>
      </c>
      <c r="F107" t="s">
        <v>47</v>
      </c>
      <c r="G107" t="s">
        <v>742</v>
      </c>
      <c r="H107" t="s">
        <v>731</v>
      </c>
      <c r="I107" t="s">
        <v>747</v>
      </c>
      <c r="J107">
        <v>1</v>
      </c>
      <c r="K107">
        <v>3</v>
      </c>
      <c r="L107" t="s">
        <v>733</v>
      </c>
      <c r="M107" s="8">
        <v>1827541</v>
      </c>
      <c r="N107">
        <v>3</v>
      </c>
      <c r="O107">
        <v>12</v>
      </c>
      <c r="P107">
        <f t="shared" si="4"/>
        <v>5</v>
      </c>
      <c r="Q107" t="str">
        <f t="shared" si="5"/>
        <v>Monitor</v>
      </c>
      <c r="R107" t="str">
        <f t="shared" si="6"/>
        <v>No</v>
      </c>
      <c r="S107" t="str">
        <f t="shared" si="7"/>
        <v>Continue monitoring</v>
      </c>
    </row>
    <row r="108" spans="1:19" x14ac:dyDescent="0.35">
      <c r="A108" t="s">
        <v>847</v>
      </c>
      <c r="B108" s="5">
        <v>46287</v>
      </c>
      <c r="C108" t="s">
        <v>24</v>
      </c>
      <c r="D108" t="s">
        <v>31</v>
      </c>
      <c r="E108" t="s">
        <v>40</v>
      </c>
      <c r="F108" t="s">
        <v>44</v>
      </c>
      <c r="G108" t="s">
        <v>739</v>
      </c>
      <c r="H108" t="s">
        <v>731</v>
      </c>
      <c r="I108" t="s">
        <v>732</v>
      </c>
      <c r="J108">
        <v>5</v>
      </c>
      <c r="K108">
        <v>4</v>
      </c>
      <c r="L108" t="s">
        <v>733</v>
      </c>
      <c r="M108" s="8">
        <v>2290370</v>
      </c>
      <c r="N108">
        <v>59</v>
      </c>
      <c r="O108">
        <v>12</v>
      </c>
      <c r="P108">
        <f t="shared" si="4"/>
        <v>25</v>
      </c>
      <c r="Q108" t="str">
        <f t="shared" si="5"/>
        <v>Review Required</v>
      </c>
      <c r="R108" t="str">
        <f t="shared" si="6"/>
        <v>Yes</v>
      </c>
      <c r="S108" t="str">
        <f t="shared" si="7"/>
        <v>Review defect trend and containment</v>
      </c>
    </row>
    <row r="109" spans="1:19" x14ac:dyDescent="0.35">
      <c r="A109" t="s">
        <v>848</v>
      </c>
      <c r="B109" s="5">
        <v>46265</v>
      </c>
      <c r="C109" t="s">
        <v>25</v>
      </c>
      <c r="D109" t="s">
        <v>32</v>
      </c>
      <c r="E109" t="s">
        <v>40</v>
      </c>
      <c r="F109" t="s">
        <v>42</v>
      </c>
      <c r="G109" t="s">
        <v>739</v>
      </c>
      <c r="H109" t="s">
        <v>731</v>
      </c>
      <c r="I109" t="s">
        <v>732</v>
      </c>
      <c r="J109">
        <v>1</v>
      </c>
      <c r="K109">
        <v>2</v>
      </c>
      <c r="L109" t="s">
        <v>733</v>
      </c>
      <c r="M109" s="8">
        <v>1927638</v>
      </c>
      <c r="N109">
        <v>4</v>
      </c>
      <c r="O109">
        <v>12</v>
      </c>
      <c r="P109">
        <f t="shared" si="4"/>
        <v>7</v>
      </c>
      <c r="Q109" t="str">
        <f t="shared" si="5"/>
        <v>Monitor</v>
      </c>
      <c r="R109" t="str">
        <f t="shared" si="6"/>
        <v>No</v>
      </c>
      <c r="S109" t="str">
        <f t="shared" si="7"/>
        <v>Review defect trend and containment</v>
      </c>
    </row>
    <row r="110" spans="1:19" x14ac:dyDescent="0.35">
      <c r="A110" t="s">
        <v>849</v>
      </c>
      <c r="B110" s="5">
        <v>46239</v>
      </c>
      <c r="C110" t="s">
        <v>24</v>
      </c>
      <c r="D110" t="s">
        <v>27</v>
      </c>
      <c r="E110" t="s">
        <v>37</v>
      </c>
      <c r="F110" t="s">
        <v>45</v>
      </c>
      <c r="G110" t="s">
        <v>742</v>
      </c>
      <c r="H110" t="s">
        <v>731</v>
      </c>
      <c r="I110" t="s">
        <v>735</v>
      </c>
      <c r="J110">
        <v>3</v>
      </c>
      <c r="K110">
        <v>1</v>
      </c>
      <c r="L110" t="s">
        <v>743</v>
      </c>
      <c r="M110" s="8">
        <v>2235602</v>
      </c>
      <c r="N110">
        <v>41</v>
      </c>
      <c r="O110">
        <v>12</v>
      </c>
      <c r="P110">
        <f t="shared" si="4"/>
        <v>8</v>
      </c>
      <c r="Q110" t="str">
        <f t="shared" si="5"/>
        <v>Monitor</v>
      </c>
      <c r="R110" t="str">
        <f t="shared" si="6"/>
        <v>No</v>
      </c>
      <c r="S110" t="str">
        <f t="shared" si="7"/>
        <v>Escalate supplier readiness</v>
      </c>
    </row>
    <row r="111" spans="1:19" x14ac:dyDescent="0.35">
      <c r="A111" t="s">
        <v>850</v>
      </c>
      <c r="B111" s="5">
        <v>46105</v>
      </c>
      <c r="C111" t="s">
        <v>22</v>
      </c>
      <c r="D111" t="s">
        <v>32</v>
      </c>
      <c r="E111" t="s">
        <v>38</v>
      </c>
      <c r="F111" t="s">
        <v>47</v>
      </c>
      <c r="G111" t="s">
        <v>730</v>
      </c>
      <c r="H111" t="s">
        <v>96</v>
      </c>
      <c r="I111" t="s">
        <v>747</v>
      </c>
      <c r="J111">
        <v>1</v>
      </c>
      <c r="K111">
        <v>5</v>
      </c>
      <c r="L111" t="s">
        <v>743</v>
      </c>
      <c r="M111" s="8">
        <v>1435687</v>
      </c>
      <c r="N111">
        <v>44</v>
      </c>
      <c r="O111">
        <v>12</v>
      </c>
      <c r="P111">
        <f t="shared" si="4"/>
        <v>9</v>
      </c>
      <c r="Q111" t="str">
        <f t="shared" si="5"/>
        <v>Approaching Review</v>
      </c>
      <c r="R111" t="str">
        <f t="shared" si="6"/>
        <v>No</v>
      </c>
      <c r="S111" t="str">
        <f t="shared" si="7"/>
        <v>Continue monitoring</v>
      </c>
    </row>
    <row r="112" spans="1:19" x14ac:dyDescent="0.35">
      <c r="A112" t="s">
        <v>851</v>
      </c>
      <c r="B112" s="5">
        <v>46252</v>
      </c>
      <c r="C112" t="s">
        <v>20</v>
      </c>
      <c r="D112" t="s">
        <v>27</v>
      </c>
      <c r="E112" t="s">
        <v>38</v>
      </c>
      <c r="F112" t="s">
        <v>47</v>
      </c>
      <c r="G112" t="s">
        <v>730</v>
      </c>
      <c r="H112" t="s">
        <v>731</v>
      </c>
      <c r="I112" t="s">
        <v>747</v>
      </c>
      <c r="J112">
        <v>5</v>
      </c>
      <c r="K112">
        <v>4</v>
      </c>
      <c r="L112" t="s">
        <v>733</v>
      </c>
      <c r="M112" s="8">
        <v>81619</v>
      </c>
      <c r="N112">
        <v>57</v>
      </c>
      <c r="O112">
        <v>12</v>
      </c>
      <c r="P112">
        <f t="shared" si="4"/>
        <v>22</v>
      </c>
      <c r="Q112" t="str">
        <f t="shared" si="5"/>
        <v>Review Required</v>
      </c>
      <c r="R112" t="str">
        <f t="shared" si="6"/>
        <v>Yes</v>
      </c>
      <c r="S112" t="str">
        <f t="shared" si="7"/>
        <v>Continue monitoring</v>
      </c>
    </row>
    <row r="113" spans="1:19" x14ac:dyDescent="0.35">
      <c r="A113" t="s">
        <v>852</v>
      </c>
      <c r="B113" s="5">
        <v>46095</v>
      </c>
      <c r="C113" t="s">
        <v>20</v>
      </c>
      <c r="D113" t="s">
        <v>32</v>
      </c>
      <c r="E113" t="s">
        <v>39</v>
      </c>
      <c r="F113" t="s">
        <v>46</v>
      </c>
      <c r="G113" t="s">
        <v>742</v>
      </c>
      <c r="H113" t="s">
        <v>731</v>
      </c>
      <c r="I113" t="s">
        <v>735</v>
      </c>
      <c r="J113">
        <v>1</v>
      </c>
      <c r="K113">
        <v>3</v>
      </c>
      <c r="L113" t="s">
        <v>733</v>
      </c>
      <c r="M113" s="8">
        <v>2408934</v>
      </c>
      <c r="N113">
        <v>20</v>
      </c>
      <c r="O113">
        <v>12</v>
      </c>
      <c r="P113">
        <f t="shared" si="4"/>
        <v>8</v>
      </c>
      <c r="Q113" t="str">
        <f t="shared" si="5"/>
        <v>Monitor</v>
      </c>
      <c r="R113" t="str">
        <f t="shared" si="6"/>
        <v>No</v>
      </c>
      <c r="S113" t="str">
        <f t="shared" si="7"/>
        <v>Escalate supplier readiness</v>
      </c>
    </row>
    <row r="114" spans="1:19" x14ac:dyDescent="0.35">
      <c r="A114" t="s">
        <v>853</v>
      </c>
      <c r="B114" s="5">
        <v>46170</v>
      </c>
      <c r="C114" t="s">
        <v>22</v>
      </c>
      <c r="D114" t="s">
        <v>30</v>
      </c>
      <c r="E114" t="s">
        <v>36</v>
      </c>
      <c r="F114" t="s">
        <v>48</v>
      </c>
      <c r="G114" t="s">
        <v>739</v>
      </c>
      <c r="H114" t="s">
        <v>96</v>
      </c>
      <c r="I114" t="s">
        <v>732</v>
      </c>
      <c r="J114">
        <v>2</v>
      </c>
      <c r="K114">
        <v>1</v>
      </c>
      <c r="L114" t="s">
        <v>745</v>
      </c>
      <c r="M114" s="8">
        <v>2095588</v>
      </c>
      <c r="N114">
        <v>59</v>
      </c>
      <c r="O114">
        <v>12</v>
      </c>
      <c r="P114">
        <f t="shared" si="4"/>
        <v>9</v>
      </c>
      <c r="Q114" t="str">
        <f t="shared" si="5"/>
        <v>Approaching Review</v>
      </c>
      <c r="R114" t="str">
        <f t="shared" si="6"/>
        <v>Yes</v>
      </c>
      <c r="S114" t="str">
        <f t="shared" si="7"/>
        <v>Review defect trend and containment</v>
      </c>
    </row>
    <row r="115" spans="1:19" x14ac:dyDescent="0.35">
      <c r="A115" t="s">
        <v>854</v>
      </c>
      <c r="B115" s="5">
        <v>46215</v>
      </c>
      <c r="C115" t="s">
        <v>22</v>
      </c>
      <c r="D115" t="s">
        <v>29</v>
      </c>
      <c r="E115" t="s">
        <v>39</v>
      </c>
      <c r="F115" t="s">
        <v>42</v>
      </c>
      <c r="G115" t="s">
        <v>739</v>
      </c>
      <c r="H115" t="s">
        <v>731</v>
      </c>
      <c r="I115" t="s">
        <v>732</v>
      </c>
      <c r="J115">
        <v>4</v>
      </c>
      <c r="K115">
        <v>4</v>
      </c>
      <c r="L115" t="s">
        <v>745</v>
      </c>
      <c r="M115" s="8">
        <v>343915</v>
      </c>
      <c r="N115">
        <v>64</v>
      </c>
      <c r="O115">
        <v>12</v>
      </c>
      <c r="P115">
        <f t="shared" si="4"/>
        <v>21</v>
      </c>
      <c r="Q115" t="str">
        <f t="shared" si="5"/>
        <v>Review Required</v>
      </c>
      <c r="R115" t="str">
        <f t="shared" si="6"/>
        <v>Yes</v>
      </c>
      <c r="S115" t="str">
        <f t="shared" si="7"/>
        <v>Review defect trend and containment</v>
      </c>
    </row>
    <row r="116" spans="1:19" x14ac:dyDescent="0.35">
      <c r="A116" t="s">
        <v>855</v>
      </c>
      <c r="B116" s="5">
        <v>46181</v>
      </c>
      <c r="C116" t="s">
        <v>22</v>
      </c>
      <c r="D116" t="s">
        <v>30</v>
      </c>
      <c r="E116" t="s">
        <v>40</v>
      </c>
      <c r="F116" t="s">
        <v>47</v>
      </c>
      <c r="G116" t="s">
        <v>742</v>
      </c>
      <c r="H116" t="s">
        <v>96</v>
      </c>
      <c r="I116" t="s">
        <v>732</v>
      </c>
      <c r="J116">
        <v>1</v>
      </c>
      <c r="K116">
        <v>3</v>
      </c>
      <c r="L116" t="s">
        <v>733</v>
      </c>
      <c r="M116" s="8">
        <v>56402</v>
      </c>
      <c r="N116">
        <v>56</v>
      </c>
      <c r="O116">
        <v>12</v>
      </c>
      <c r="P116">
        <f t="shared" si="4"/>
        <v>5</v>
      </c>
      <c r="Q116" t="str">
        <f t="shared" si="5"/>
        <v>Monitor</v>
      </c>
      <c r="R116" t="str">
        <f t="shared" si="6"/>
        <v>No</v>
      </c>
      <c r="S116" t="str">
        <f t="shared" si="7"/>
        <v>Continue monitoring</v>
      </c>
    </row>
    <row r="117" spans="1:19" x14ac:dyDescent="0.35">
      <c r="A117" t="s">
        <v>856</v>
      </c>
      <c r="B117" s="5">
        <v>46300</v>
      </c>
      <c r="C117" t="s">
        <v>24</v>
      </c>
      <c r="D117" t="s">
        <v>27</v>
      </c>
      <c r="E117" t="s">
        <v>39</v>
      </c>
      <c r="F117" t="s">
        <v>44</v>
      </c>
      <c r="G117" t="s">
        <v>739</v>
      </c>
      <c r="H117" t="s">
        <v>731</v>
      </c>
      <c r="I117" t="s">
        <v>747</v>
      </c>
      <c r="J117">
        <v>5</v>
      </c>
      <c r="K117">
        <v>5</v>
      </c>
      <c r="L117" t="s">
        <v>733</v>
      </c>
      <c r="M117" s="8">
        <v>1501585</v>
      </c>
      <c r="N117">
        <v>14</v>
      </c>
      <c r="O117">
        <v>12</v>
      </c>
      <c r="P117">
        <f t="shared" si="4"/>
        <v>32</v>
      </c>
      <c r="Q117" t="str">
        <f t="shared" si="5"/>
        <v>Review Required</v>
      </c>
      <c r="R117" t="str">
        <f t="shared" si="6"/>
        <v>Yes</v>
      </c>
      <c r="S117" t="str">
        <f t="shared" si="7"/>
        <v>Review defect trend and containment</v>
      </c>
    </row>
    <row r="118" spans="1:19" x14ac:dyDescent="0.35">
      <c r="A118" t="s">
        <v>857</v>
      </c>
      <c r="B118" s="5">
        <v>46194</v>
      </c>
      <c r="C118" t="s">
        <v>22</v>
      </c>
      <c r="D118" t="s">
        <v>31</v>
      </c>
      <c r="E118" t="s">
        <v>37</v>
      </c>
      <c r="F118" t="s">
        <v>47</v>
      </c>
      <c r="G118" t="s">
        <v>730</v>
      </c>
      <c r="H118" t="s">
        <v>96</v>
      </c>
      <c r="I118" t="s">
        <v>735</v>
      </c>
      <c r="J118">
        <v>3</v>
      </c>
      <c r="K118">
        <v>3</v>
      </c>
      <c r="L118" t="s">
        <v>745</v>
      </c>
      <c r="M118" s="8">
        <v>1158484</v>
      </c>
      <c r="N118">
        <v>68</v>
      </c>
      <c r="O118">
        <v>12</v>
      </c>
      <c r="P118">
        <f t="shared" si="4"/>
        <v>16</v>
      </c>
      <c r="Q118" t="str">
        <f t="shared" si="5"/>
        <v>Review Required</v>
      </c>
      <c r="R118" t="str">
        <f t="shared" si="6"/>
        <v>Yes</v>
      </c>
      <c r="S118" t="str">
        <f t="shared" si="7"/>
        <v>Escalate supplier readiness</v>
      </c>
    </row>
    <row r="119" spans="1:19" x14ac:dyDescent="0.35">
      <c r="A119" t="s">
        <v>858</v>
      </c>
      <c r="B119" s="5">
        <v>46121</v>
      </c>
      <c r="C119" t="s">
        <v>23</v>
      </c>
      <c r="D119" t="s">
        <v>29</v>
      </c>
      <c r="E119" t="s">
        <v>38</v>
      </c>
      <c r="F119" t="s">
        <v>45</v>
      </c>
      <c r="G119" t="s">
        <v>739</v>
      </c>
      <c r="H119" t="s">
        <v>96</v>
      </c>
      <c r="I119" t="s">
        <v>747</v>
      </c>
      <c r="J119">
        <v>2</v>
      </c>
      <c r="K119">
        <v>2</v>
      </c>
      <c r="L119" t="s">
        <v>736</v>
      </c>
      <c r="M119" s="8">
        <v>1212251</v>
      </c>
      <c r="N119">
        <v>48</v>
      </c>
      <c r="O119">
        <v>12</v>
      </c>
      <c r="P119">
        <f t="shared" si="4"/>
        <v>13</v>
      </c>
      <c r="Q119" t="str">
        <f t="shared" si="5"/>
        <v>Review Required</v>
      </c>
      <c r="R119" t="str">
        <f t="shared" si="6"/>
        <v>Yes</v>
      </c>
      <c r="S119" t="str">
        <f t="shared" si="7"/>
        <v>Review defect trend and containment</v>
      </c>
    </row>
    <row r="120" spans="1:19" x14ac:dyDescent="0.35">
      <c r="A120" t="s">
        <v>859</v>
      </c>
      <c r="B120" s="5">
        <v>46067</v>
      </c>
      <c r="C120" t="s">
        <v>20</v>
      </c>
      <c r="D120" t="s">
        <v>32</v>
      </c>
      <c r="E120" t="s">
        <v>36</v>
      </c>
      <c r="F120" t="s">
        <v>47</v>
      </c>
      <c r="G120" t="s">
        <v>730</v>
      </c>
      <c r="H120" t="s">
        <v>731</v>
      </c>
      <c r="I120" t="s">
        <v>732</v>
      </c>
      <c r="J120">
        <v>2</v>
      </c>
      <c r="K120">
        <v>1</v>
      </c>
      <c r="L120" t="s">
        <v>745</v>
      </c>
      <c r="M120" s="8">
        <v>443422</v>
      </c>
      <c r="N120">
        <v>62</v>
      </c>
      <c r="O120">
        <v>12</v>
      </c>
      <c r="P120">
        <f t="shared" si="4"/>
        <v>2</v>
      </c>
      <c r="Q120" t="str">
        <f t="shared" si="5"/>
        <v>Monitor</v>
      </c>
      <c r="R120" t="str">
        <f t="shared" si="6"/>
        <v>Yes</v>
      </c>
      <c r="S120" t="str">
        <f t="shared" si="7"/>
        <v>Continue monitoring</v>
      </c>
    </row>
    <row r="121" spans="1:19" x14ac:dyDescent="0.35">
      <c r="A121" t="s">
        <v>860</v>
      </c>
      <c r="B121" s="5">
        <v>46305</v>
      </c>
      <c r="C121" t="s">
        <v>20</v>
      </c>
      <c r="D121" t="s">
        <v>29</v>
      </c>
      <c r="E121" t="s">
        <v>38</v>
      </c>
      <c r="F121" t="s">
        <v>48</v>
      </c>
      <c r="G121" t="s">
        <v>742</v>
      </c>
      <c r="H121" t="s">
        <v>96</v>
      </c>
      <c r="I121" t="s">
        <v>735</v>
      </c>
      <c r="J121">
        <v>4</v>
      </c>
      <c r="K121">
        <v>2</v>
      </c>
      <c r="L121" t="s">
        <v>736</v>
      </c>
      <c r="M121" s="8">
        <v>2089135</v>
      </c>
      <c r="N121">
        <v>60</v>
      </c>
      <c r="O121">
        <v>12</v>
      </c>
      <c r="P121">
        <f t="shared" si="4"/>
        <v>15</v>
      </c>
      <c r="Q121" t="str">
        <f t="shared" si="5"/>
        <v>Review Required</v>
      </c>
      <c r="R121" t="str">
        <f t="shared" si="6"/>
        <v>Yes</v>
      </c>
      <c r="S121" t="str">
        <f t="shared" si="7"/>
        <v>Escalate supplier readiness</v>
      </c>
    </row>
    <row r="122" spans="1:19" x14ac:dyDescent="0.35">
      <c r="A122" t="s">
        <v>861</v>
      </c>
      <c r="B122" s="5">
        <v>46117</v>
      </c>
      <c r="C122" t="s">
        <v>24</v>
      </c>
      <c r="D122" t="s">
        <v>29</v>
      </c>
      <c r="E122" t="s">
        <v>40</v>
      </c>
      <c r="F122" t="s">
        <v>45</v>
      </c>
      <c r="G122" t="s">
        <v>730</v>
      </c>
      <c r="H122" t="s">
        <v>731</v>
      </c>
      <c r="I122" t="s">
        <v>732</v>
      </c>
      <c r="J122">
        <v>3</v>
      </c>
      <c r="K122">
        <v>1</v>
      </c>
      <c r="L122" t="s">
        <v>733</v>
      </c>
      <c r="M122" s="8">
        <v>1114332</v>
      </c>
      <c r="N122">
        <v>10</v>
      </c>
      <c r="O122">
        <v>12</v>
      </c>
      <c r="P122">
        <f t="shared" si="4"/>
        <v>3</v>
      </c>
      <c r="Q122" t="str">
        <f t="shared" si="5"/>
        <v>Monitor</v>
      </c>
      <c r="R122" t="str">
        <f t="shared" si="6"/>
        <v>No</v>
      </c>
      <c r="S122" t="str">
        <f t="shared" si="7"/>
        <v>Continue monitoring</v>
      </c>
    </row>
    <row r="123" spans="1:19" x14ac:dyDescent="0.35">
      <c r="A123" t="s">
        <v>862</v>
      </c>
      <c r="B123" s="5">
        <v>46272</v>
      </c>
      <c r="C123" t="s">
        <v>25</v>
      </c>
      <c r="D123" t="s">
        <v>27</v>
      </c>
      <c r="E123" t="s">
        <v>38</v>
      </c>
      <c r="F123" t="s">
        <v>47</v>
      </c>
      <c r="G123" t="s">
        <v>739</v>
      </c>
      <c r="H123" t="s">
        <v>96</v>
      </c>
      <c r="I123" t="s">
        <v>732</v>
      </c>
      <c r="J123">
        <v>2</v>
      </c>
      <c r="K123">
        <v>4</v>
      </c>
      <c r="L123" t="s">
        <v>745</v>
      </c>
      <c r="M123" s="8">
        <v>2113492</v>
      </c>
      <c r="N123">
        <v>73</v>
      </c>
      <c r="O123">
        <v>12</v>
      </c>
      <c r="P123">
        <f t="shared" si="4"/>
        <v>15</v>
      </c>
      <c r="Q123" t="str">
        <f t="shared" si="5"/>
        <v>Review Required</v>
      </c>
      <c r="R123" t="str">
        <f t="shared" si="6"/>
        <v>Yes</v>
      </c>
      <c r="S123" t="str">
        <f t="shared" si="7"/>
        <v>Review defect trend and containment</v>
      </c>
    </row>
    <row r="124" spans="1:19" x14ac:dyDescent="0.35">
      <c r="A124" t="s">
        <v>863</v>
      </c>
      <c r="B124" s="5">
        <v>46166</v>
      </c>
      <c r="C124" t="s">
        <v>24</v>
      </c>
      <c r="D124" t="s">
        <v>32</v>
      </c>
      <c r="E124" t="s">
        <v>36</v>
      </c>
      <c r="F124" t="s">
        <v>45</v>
      </c>
      <c r="G124" t="s">
        <v>730</v>
      </c>
      <c r="H124" t="s">
        <v>731</v>
      </c>
      <c r="I124" t="s">
        <v>732</v>
      </c>
      <c r="J124">
        <v>5</v>
      </c>
      <c r="K124">
        <v>5</v>
      </c>
      <c r="L124" t="s">
        <v>733</v>
      </c>
      <c r="M124" s="8">
        <v>2180393</v>
      </c>
      <c r="N124">
        <v>72</v>
      </c>
      <c r="O124">
        <v>12</v>
      </c>
      <c r="P124">
        <f t="shared" si="4"/>
        <v>25</v>
      </c>
      <c r="Q124" t="str">
        <f t="shared" si="5"/>
        <v>Review Required</v>
      </c>
      <c r="R124" t="str">
        <f t="shared" si="6"/>
        <v>Yes</v>
      </c>
      <c r="S124" t="str">
        <f t="shared" si="7"/>
        <v>Continue monitoring</v>
      </c>
    </row>
    <row r="125" spans="1:19" x14ac:dyDescent="0.35">
      <c r="A125" t="s">
        <v>864</v>
      </c>
      <c r="B125" s="5">
        <v>46258</v>
      </c>
      <c r="C125" t="s">
        <v>25</v>
      </c>
      <c r="D125" t="s">
        <v>32</v>
      </c>
      <c r="E125" t="s">
        <v>36</v>
      </c>
      <c r="F125" t="s">
        <v>46</v>
      </c>
      <c r="G125" t="s">
        <v>730</v>
      </c>
      <c r="H125" t="s">
        <v>96</v>
      </c>
      <c r="I125" t="s">
        <v>747</v>
      </c>
      <c r="J125">
        <v>1</v>
      </c>
      <c r="K125">
        <v>1</v>
      </c>
      <c r="L125" t="s">
        <v>733</v>
      </c>
      <c r="M125" s="8">
        <v>2206137</v>
      </c>
      <c r="N125">
        <v>12</v>
      </c>
      <c r="O125">
        <v>12</v>
      </c>
      <c r="P125">
        <f t="shared" si="4"/>
        <v>5</v>
      </c>
      <c r="Q125" t="str">
        <f t="shared" si="5"/>
        <v>Monitor</v>
      </c>
      <c r="R125" t="str">
        <f t="shared" si="6"/>
        <v>No</v>
      </c>
      <c r="S125" t="str">
        <f t="shared" si="7"/>
        <v>Continue monitoring</v>
      </c>
    </row>
    <row r="126" spans="1:19" x14ac:dyDescent="0.35">
      <c r="A126" t="s">
        <v>865</v>
      </c>
      <c r="B126" s="5">
        <v>46279</v>
      </c>
      <c r="C126" t="s">
        <v>22</v>
      </c>
      <c r="D126" t="s">
        <v>30</v>
      </c>
      <c r="E126" t="s">
        <v>40</v>
      </c>
      <c r="F126" t="s">
        <v>42</v>
      </c>
      <c r="G126" t="s">
        <v>739</v>
      </c>
      <c r="H126" t="s">
        <v>731</v>
      </c>
      <c r="I126" t="s">
        <v>732</v>
      </c>
      <c r="J126">
        <v>3</v>
      </c>
      <c r="K126">
        <v>4</v>
      </c>
      <c r="L126" t="s">
        <v>733</v>
      </c>
      <c r="M126" s="8">
        <v>1715214</v>
      </c>
      <c r="N126">
        <v>44</v>
      </c>
      <c r="O126">
        <v>12</v>
      </c>
      <c r="P126">
        <f t="shared" si="4"/>
        <v>17</v>
      </c>
      <c r="Q126" t="str">
        <f t="shared" si="5"/>
        <v>Review Required</v>
      </c>
      <c r="R126" t="str">
        <f t="shared" si="6"/>
        <v>Yes</v>
      </c>
      <c r="S126" t="str">
        <f t="shared" si="7"/>
        <v>Review defect trend and containment</v>
      </c>
    </row>
    <row r="127" spans="1:19" x14ac:dyDescent="0.35">
      <c r="A127" t="s">
        <v>866</v>
      </c>
      <c r="B127" s="5">
        <v>46210</v>
      </c>
      <c r="C127" t="s">
        <v>23</v>
      </c>
      <c r="D127" t="s">
        <v>32</v>
      </c>
      <c r="E127" t="s">
        <v>38</v>
      </c>
      <c r="F127" t="s">
        <v>47</v>
      </c>
      <c r="G127" t="s">
        <v>739</v>
      </c>
      <c r="H127" t="s">
        <v>731</v>
      </c>
      <c r="I127" t="s">
        <v>735</v>
      </c>
      <c r="J127">
        <v>2</v>
      </c>
      <c r="K127">
        <v>5</v>
      </c>
      <c r="L127" t="s">
        <v>745</v>
      </c>
      <c r="M127" s="8">
        <v>783725</v>
      </c>
      <c r="N127">
        <v>55</v>
      </c>
      <c r="O127">
        <v>12</v>
      </c>
      <c r="P127">
        <f t="shared" si="4"/>
        <v>20</v>
      </c>
      <c r="Q127" t="str">
        <f t="shared" si="5"/>
        <v>Review Required</v>
      </c>
      <c r="R127" t="str">
        <f t="shared" si="6"/>
        <v>Yes</v>
      </c>
      <c r="S127" t="str">
        <f t="shared" si="7"/>
        <v>Review defect trend and containment</v>
      </c>
    </row>
    <row r="128" spans="1:19" x14ac:dyDescent="0.35">
      <c r="A128" t="s">
        <v>867</v>
      </c>
      <c r="B128" s="5">
        <v>46080</v>
      </c>
      <c r="C128" t="s">
        <v>25</v>
      </c>
      <c r="D128" t="s">
        <v>32</v>
      </c>
      <c r="E128" t="s">
        <v>38</v>
      </c>
      <c r="F128" t="s">
        <v>42</v>
      </c>
      <c r="G128" t="s">
        <v>742</v>
      </c>
      <c r="H128" t="s">
        <v>731</v>
      </c>
      <c r="I128" t="s">
        <v>732</v>
      </c>
      <c r="J128">
        <v>1</v>
      </c>
      <c r="K128">
        <v>5</v>
      </c>
      <c r="L128" t="s">
        <v>745</v>
      </c>
      <c r="M128" s="8">
        <v>2294439</v>
      </c>
      <c r="N128">
        <v>20</v>
      </c>
      <c r="O128">
        <v>12</v>
      </c>
      <c r="P128">
        <f t="shared" si="4"/>
        <v>5</v>
      </c>
      <c r="Q128" t="str">
        <f t="shared" si="5"/>
        <v>Monitor</v>
      </c>
      <c r="R128" t="str">
        <f t="shared" si="6"/>
        <v>Yes</v>
      </c>
      <c r="S128" t="str">
        <f t="shared" si="7"/>
        <v>Continue monitoring</v>
      </c>
    </row>
    <row r="129" spans="1:19" x14ac:dyDescent="0.35">
      <c r="A129" t="s">
        <v>868</v>
      </c>
      <c r="B129" s="5">
        <v>46200</v>
      </c>
      <c r="C129" t="s">
        <v>22</v>
      </c>
      <c r="D129" t="s">
        <v>31</v>
      </c>
      <c r="E129" t="s">
        <v>34</v>
      </c>
      <c r="F129" t="s">
        <v>44</v>
      </c>
      <c r="G129" t="s">
        <v>739</v>
      </c>
      <c r="H129" t="s">
        <v>96</v>
      </c>
      <c r="I129" t="s">
        <v>732</v>
      </c>
      <c r="J129">
        <v>1</v>
      </c>
      <c r="K129">
        <v>5</v>
      </c>
      <c r="L129" t="s">
        <v>736</v>
      </c>
      <c r="M129" s="8">
        <v>1418146</v>
      </c>
      <c r="N129">
        <v>6</v>
      </c>
      <c r="O129">
        <v>12</v>
      </c>
      <c r="P129">
        <f t="shared" si="4"/>
        <v>12</v>
      </c>
      <c r="Q129" t="str">
        <f t="shared" si="5"/>
        <v>Review Required</v>
      </c>
      <c r="R129" t="str">
        <f t="shared" si="6"/>
        <v>Yes</v>
      </c>
      <c r="S129" t="str">
        <f t="shared" si="7"/>
        <v>Review defect trend and containment</v>
      </c>
    </row>
    <row r="130" spans="1:19" x14ac:dyDescent="0.35">
      <c r="A130" t="s">
        <v>869</v>
      </c>
      <c r="B130" s="5">
        <v>46106</v>
      </c>
      <c r="C130" t="s">
        <v>24</v>
      </c>
      <c r="D130" t="s">
        <v>30</v>
      </c>
      <c r="E130" t="s">
        <v>38</v>
      </c>
      <c r="F130" t="s">
        <v>47</v>
      </c>
      <c r="G130" t="s">
        <v>730</v>
      </c>
      <c r="H130" t="s">
        <v>731</v>
      </c>
      <c r="I130" t="s">
        <v>735</v>
      </c>
      <c r="J130">
        <v>1</v>
      </c>
      <c r="K130">
        <v>3</v>
      </c>
      <c r="L130" t="s">
        <v>733</v>
      </c>
      <c r="M130" s="8">
        <v>672786</v>
      </c>
      <c r="N130">
        <v>21</v>
      </c>
      <c r="O130">
        <v>12</v>
      </c>
      <c r="P130">
        <f t="shared" ref="P130:P193" si="8">J130*K130+IF(G130="Worsening",5,0)+IF(H130="Missing",5,IF(H130="Pending",2,0))+IF(I130="At Risk",5,IF(I130="Conditional",2,0))</f>
        <v>8</v>
      </c>
      <c r="Q130" t="str">
        <f t="shared" ref="Q130:Q193" si="9">IF(P130&gt;=O130,"Review Required",IF(P130&gt;=O130*0.75,"Approaching Review","Monitor"))</f>
        <v>Monitor</v>
      </c>
      <c r="R130" t="str">
        <f t="shared" ref="R130:R193" si="10">IF(OR(L130="Critical",Q130="Review Required",H130="Missing"),"Yes","No")</f>
        <v>No</v>
      </c>
      <c r="S130" t="str">
        <f t="shared" ref="S130:S193" si="11">IF(H130="Missing","Validate calibration evidence",IF(G130="Worsening","Review defect trend and containment",IF(I130="At Risk","Escalate supplier readiness","Continue monitoring")))</f>
        <v>Escalate supplier readiness</v>
      </c>
    </row>
    <row r="131" spans="1:19" x14ac:dyDescent="0.35">
      <c r="A131" t="s">
        <v>870</v>
      </c>
      <c r="B131" s="5">
        <v>46042</v>
      </c>
      <c r="C131" t="s">
        <v>23</v>
      </c>
      <c r="D131" t="s">
        <v>29</v>
      </c>
      <c r="E131" t="s">
        <v>40</v>
      </c>
      <c r="F131" t="s">
        <v>44</v>
      </c>
      <c r="G131" t="s">
        <v>730</v>
      </c>
      <c r="H131" t="s">
        <v>96</v>
      </c>
      <c r="I131" t="s">
        <v>747</v>
      </c>
      <c r="J131">
        <v>1</v>
      </c>
      <c r="K131">
        <v>1</v>
      </c>
      <c r="L131" t="s">
        <v>733</v>
      </c>
      <c r="M131" s="8">
        <v>255244</v>
      </c>
      <c r="N131">
        <v>69</v>
      </c>
      <c r="O131">
        <v>12</v>
      </c>
      <c r="P131">
        <f t="shared" si="8"/>
        <v>5</v>
      </c>
      <c r="Q131" t="str">
        <f t="shared" si="9"/>
        <v>Monitor</v>
      </c>
      <c r="R131" t="str">
        <f t="shared" si="10"/>
        <v>No</v>
      </c>
      <c r="S131" t="str">
        <f t="shared" si="11"/>
        <v>Continue monitoring</v>
      </c>
    </row>
    <row r="132" spans="1:19" x14ac:dyDescent="0.35">
      <c r="A132" t="s">
        <v>871</v>
      </c>
      <c r="B132" s="5">
        <v>46045</v>
      </c>
      <c r="C132" t="s">
        <v>24</v>
      </c>
      <c r="D132" t="s">
        <v>29</v>
      </c>
      <c r="E132" t="s">
        <v>40</v>
      </c>
      <c r="F132" t="s">
        <v>46</v>
      </c>
      <c r="G132" t="s">
        <v>739</v>
      </c>
      <c r="H132" t="s">
        <v>731</v>
      </c>
      <c r="I132" t="s">
        <v>747</v>
      </c>
      <c r="J132">
        <v>2</v>
      </c>
      <c r="K132">
        <v>5</v>
      </c>
      <c r="L132" t="s">
        <v>745</v>
      </c>
      <c r="M132" s="8">
        <v>1854056</v>
      </c>
      <c r="N132">
        <v>23</v>
      </c>
      <c r="O132">
        <v>12</v>
      </c>
      <c r="P132">
        <f t="shared" si="8"/>
        <v>17</v>
      </c>
      <c r="Q132" t="str">
        <f t="shared" si="9"/>
        <v>Review Required</v>
      </c>
      <c r="R132" t="str">
        <f t="shared" si="10"/>
        <v>Yes</v>
      </c>
      <c r="S132" t="str">
        <f t="shared" si="11"/>
        <v>Review defect trend and containment</v>
      </c>
    </row>
    <row r="133" spans="1:19" x14ac:dyDescent="0.35">
      <c r="A133" t="s">
        <v>872</v>
      </c>
      <c r="B133" s="5">
        <v>46087</v>
      </c>
      <c r="C133" t="s">
        <v>25</v>
      </c>
      <c r="D133" t="s">
        <v>27</v>
      </c>
      <c r="E133" t="s">
        <v>34</v>
      </c>
      <c r="F133" t="s">
        <v>42</v>
      </c>
      <c r="G133" t="s">
        <v>730</v>
      </c>
      <c r="H133" t="s">
        <v>731</v>
      </c>
      <c r="I133" t="s">
        <v>732</v>
      </c>
      <c r="J133">
        <v>1</v>
      </c>
      <c r="K133">
        <v>4</v>
      </c>
      <c r="L133" t="s">
        <v>736</v>
      </c>
      <c r="M133" s="8">
        <v>126507</v>
      </c>
      <c r="N133">
        <v>16</v>
      </c>
      <c r="O133">
        <v>12</v>
      </c>
      <c r="P133">
        <f t="shared" si="8"/>
        <v>4</v>
      </c>
      <c r="Q133" t="str">
        <f t="shared" si="9"/>
        <v>Monitor</v>
      </c>
      <c r="R133" t="str">
        <f t="shared" si="10"/>
        <v>No</v>
      </c>
      <c r="S133" t="str">
        <f t="shared" si="11"/>
        <v>Continue monitoring</v>
      </c>
    </row>
    <row r="134" spans="1:19" x14ac:dyDescent="0.35">
      <c r="A134" t="s">
        <v>873</v>
      </c>
      <c r="B134" s="5">
        <v>46228</v>
      </c>
      <c r="C134" t="s">
        <v>20</v>
      </c>
      <c r="D134" t="s">
        <v>30</v>
      </c>
      <c r="E134" t="s">
        <v>37</v>
      </c>
      <c r="F134" t="s">
        <v>48</v>
      </c>
      <c r="G134" t="s">
        <v>739</v>
      </c>
      <c r="H134" t="s">
        <v>731</v>
      </c>
      <c r="I134" t="s">
        <v>747</v>
      </c>
      <c r="J134">
        <v>3</v>
      </c>
      <c r="K134">
        <v>4</v>
      </c>
      <c r="L134" t="s">
        <v>743</v>
      </c>
      <c r="M134" s="8">
        <v>1501160</v>
      </c>
      <c r="N134">
        <v>3</v>
      </c>
      <c r="O134">
        <v>12</v>
      </c>
      <c r="P134">
        <f t="shared" si="8"/>
        <v>19</v>
      </c>
      <c r="Q134" t="str">
        <f t="shared" si="9"/>
        <v>Review Required</v>
      </c>
      <c r="R134" t="str">
        <f t="shared" si="10"/>
        <v>Yes</v>
      </c>
      <c r="S134" t="str">
        <f t="shared" si="11"/>
        <v>Review defect trend and containment</v>
      </c>
    </row>
    <row r="135" spans="1:19" x14ac:dyDescent="0.35">
      <c r="A135" t="s">
        <v>874</v>
      </c>
      <c r="B135" s="5">
        <v>46204</v>
      </c>
      <c r="C135" t="s">
        <v>25</v>
      </c>
      <c r="D135" t="s">
        <v>29</v>
      </c>
      <c r="E135" t="s">
        <v>37</v>
      </c>
      <c r="F135" t="s">
        <v>47</v>
      </c>
      <c r="G135" t="s">
        <v>742</v>
      </c>
      <c r="H135" t="s">
        <v>731</v>
      </c>
      <c r="I135" t="s">
        <v>747</v>
      </c>
      <c r="J135">
        <v>3</v>
      </c>
      <c r="K135">
        <v>3</v>
      </c>
      <c r="L135" t="s">
        <v>736</v>
      </c>
      <c r="M135" s="8">
        <v>2336942</v>
      </c>
      <c r="N135">
        <v>38</v>
      </c>
      <c r="O135">
        <v>12</v>
      </c>
      <c r="P135">
        <f t="shared" si="8"/>
        <v>11</v>
      </c>
      <c r="Q135" t="str">
        <f t="shared" si="9"/>
        <v>Approaching Review</v>
      </c>
      <c r="R135" t="str">
        <f t="shared" si="10"/>
        <v>No</v>
      </c>
      <c r="S135" t="str">
        <f t="shared" si="11"/>
        <v>Continue monitoring</v>
      </c>
    </row>
    <row r="136" spans="1:19" x14ac:dyDescent="0.35">
      <c r="A136" t="s">
        <v>875</v>
      </c>
      <c r="B136" s="5">
        <v>46232</v>
      </c>
      <c r="C136" t="s">
        <v>22</v>
      </c>
      <c r="D136" t="s">
        <v>27</v>
      </c>
      <c r="E136" t="s">
        <v>34</v>
      </c>
      <c r="F136" t="s">
        <v>42</v>
      </c>
      <c r="G136" t="s">
        <v>730</v>
      </c>
      <c r="H136" t="s">
        <v>731</v>
      </c>
      <c r="I136" t="s">
        <v>732</v>
      </c>
      <c r="J136">
        <v>4</v>
      </c>
      <c r="K136">
        <v>5</v>
      </c>
      <c r="L136" t="s">
        <v>745</v>
      </c>
      <c r="M136" s="8">
        <v>927951</v>
      </c>
      <c r="N136">
        <v>62</v>
      </c>
      <c r="O136">
        <v>12</v>
      </c>
      <c r="P136">
        <f t="shared" si="8"/>
        <v>20</v>
      </c>
      <c r="Q136" t="str">
        <f t="shared" si="9"/>
        <v>Review Required</v>
      </c>
      <c r="R136" t="str">
        <f t="shared" si="10"/>
        <v>Yes</v>
      </c>
      <c r="S136" t="str">
        <f t="shared" si="11"/>
        <v>Continue monitoring</v>
      </c>
    </row>
    <row r="137" spans="1:19" x14ac:dyDescent="0.35">
      <c r="A137" t="s">
        <v>876</v>
      </c>
      <c r="B137" s="5">
        <v>46208</v>
      </c>
      <c r="C137" t="s">
        <v>24</v>
      </c>
      <c r="D137" t="s">
        <v>32</v>
      </c>
      <c r="E137" t="s">
        <v>38</v>
      </c>
      <c r="F137" t="s">
        <v>45</v>
      </c>
      <c r="G137" t="s">
        <v>742</v>
      </c>
      <c r="H137" t="s">
        <v>731</v>
      </c>
      <c r="I137" t="s">
        <v>747</v>
      </c>
      <c r="J137">
        <v>1</v>
      </c>
      <c r="K137">
        <v>3</v>
      </c>
      <c r="L137" t="s">
        <v>736</v>
      </c>
      <c r="M137" s="8">
        <v>207111</v>
      </c>
      <c r="N137">
        <v>45</v>
      </c>
      <c r="O137">
        <v>12</v>
      </c>
      <c r="P137">
        <f t="shared" si="8"/>
        <v>5</v>
      </c>
      <c r="Q137" t="str">
        <f t="shared" si="9"/>
        <v>Monitor</v>
      </c>
      <c r="R137" t="str">
        <f t="shared" si="10"/>
        <v>No</v>
      </c>
      <c r="S137" t="str">
        <f t="shared" si="11"/>
        <v>Continue monitoring</v>
      </c>
    </row>
    <row r="138" spans="1:19" x14ac:dyDescent="0.35">
      <c r="A138" t="s">
        <v>877</v>
      </c>
      <c r="B138" s="5">
        <v>46197</v>
      </c>
      <c r="C138" t="s">
        <v>23</v>
      </c>
      <c r="D138" t="s">
        <v>32</v>
      </c>
      <c r="E138" t="s">
        <v>38</v>
      </c>
      <c r="F138" t="s">
        <v>45</v>
      </c>
      <c r="G138" t="s">
        <v>742</v>
      </c>
      <c r="H138" t="s">
        <v>731</v>
      </c>
      <c r="I138" t="s">
        <v>732</v>
      </c>
      <c r="J138">
        <v>1</v>
      </c>
      <c r="K138">
        <v>1</v>
      </c>
      <c r="L138" t="s">
        <v>733</v>
      </c>
      <c r="M138" s="8">
        <v>2229104</v>
      </c>
      <c r="N138">
        <v>42</v>
      </c>
      <c r="O138">
        <v>12</v>
      </c>
      <c r="P138">
        <f t="shared" si="8"/>
        <v>1</v>
      </c>
      <c r="Q138" t="str">
        <f t="shared" si="9"/>
        <v>Monitor</v>
      </c>
      <c r="R138" t="str">
        <f t="shared" si="10"/>
        <v>No</v>
      </c>
      <c r="S138" t="str">
        <f t="shared" si="11"/>
        <v>Continue monitoring</v>
      </c>
    </row>
    <row r="139" spans="1:19" x14ac:dyDescent="0.35">
      <c r="A139" t="s">
        <v>878</v>
      </c>
      <c r="B139" s="5">
        <v>46248</v>
      </c>
      <c r="C139" t="s">
        <v>25</v>
      </c>
      <c r="D139" t="s">
        <v>30</v>
      </c>
      <c r="E139" t="s">
        <v>34</v>
      </c>
      <c r="F139" t="s">
        <v>45</v>
      </c>
      <c r="G139" t="s">
        <v>742</v>
      </c>
      <c r="H139" t="s">
        <v>731</v>
      </c>
      <c r="I139" t="s">
        <v>732</v>
      </c>
      <c r="J139">
        <v>5</v>
      </c>
      <c r="K139">
        <v>4</v>
      </c>
      <c r="L139" t="s">
        <v>733</v>
      </c>
      <c r="M139" s="8">
        <v>1602548</v>
      </c>
      <c r="N139">
        <v>23</v>
      </c>
      <c r="O139">
        <v>12</v>
      </c>
      <c r="P139">
        <f t="shared" si="8"/>
        <v>20</v>
      </c>
      <c r="Q139" t="str">
        <f t="shared" si="9"/>
        <v>Review Required</v>
      </c>
      <c r="R139" t="str">
        <f t="shared" si="10"/>
        <v>Yes</v>
      </c>
      <c r="S139" t="str">
        <f t="shared" si="11"/>
        <v>Continue monitoring</v>
      </c>
    </row>
    <row r="140" spans="1:19" x14ac:dyDescent="0.35">
      <c r="A140" t="s">
        <v>879</v>
      </c>
      <c r="B140" s="5">
        <v>46144</v>
      </c>
      <c r="C140" t="s">
        <v>23</v>
      </c>
      <c r="D140" t="s">
        <v>30</v>
      </c>
      <c r="E140" t="s">
        <v>40</v>
      </c>
      <c r="F140" t="s">
        <v>47</v>
      </c>
      <c r="G140" t="s">
        <v>730</v>
      </c>
      <c r="H140" t="s">
        <v>731</v>
      </c>
      <c r="I140" t="s">
        <v>732</v>
      </c>
      <c r="J140">
        <v>3</v>
      </c>
      <c r="K140">
        <v>2</v>
      </c>
      <c r="L140" t="s">
        <v>745</v>
      </c>
      <c r="M140" s="8">
        <v>2058334</v>
      </c>
      <c r="N140">
        <v>66</v>
      </c>
      <c r="O140">
        <v>12</v>
      </c>
      <c r="P140">
        <f t="shared" si="8"/>
        <v>6</v>
      </c>
      <c r="Q140" t="str">
        <f t="shared" si="9"/>
        <v>Monitor</v>
      </c>
      <c r="R140" t="str">
        <f t="shared" si="10"/>
        <v>Yes</v>
      </c>
      <c r="S140" t="str">
        <f t="shared" si="11"/>
        <v>Continue monitoring</v>
      </c>
    </row>
    <row r="141" spans="1:19" x14ac:dyDescent="0.35">
      <c r="A141" t="s">
        <v>880</v>
      </c>
      <c r="B141" s="5">
        <v>46148</v>
      </c>
      <c r="C141" t="s">
        <v>24</v>
      </c>
      <c r="D141" t="s">
        <v>29</v>
      </c>
      <c r="E141" t="s">
        <v>38</v>
      </c>
      <c r="F141" t="s">
        <v>46</v>
      </c>
      <c r="G141" t="s">
        <v>739</v>
      </c>
      <c r="H141" t="s">
        <v>731</v>
      </c>
      <c r="I141" t="s">
        <v>732</v>
      </c>
      <c r="J141">
        <v>4</v>
      </c>
      <c r="K141">
        <v>5</v>
      </c>
      <c r="L141" t="s">
        <v>736</v>
      </c>
      <c r="M141" s="8">
        <v>1461356</v>
      </c>
      <c r="N141">
        <v>40</v>
      </c>
      <c r="O141">
        <v>12</v>
      </c>
      <c r="P141">
        <f t="shared" si="8"/>
        <v>25</v>
      </c>
      <c r="Q141" t="str">
        <f t="shared" si="9"/>
        <v>Review Required</v>
      </c>
      <c r="R141" t="str">
        <f t="shared" si="10"/>
        <v>Yes</v>
      </c>
      <c r="S141" t="str">
        <f t="shared" si="11"/>
        <v>Review defect trend and containment</v>
      </c>
    </row>
    <row r="142" spans="1:19" x14ac:dyDescent="0.35">
      <c r="A142" t="s">
        <v>881</v>
      </c>
      <c r="B142" s="5">
        <v>46140</v>
      </c>
      <c r="C142" t="s">
        <v>22</v>
      </c>
      <c r="D142" t="s">
        <v>32</v>
      </c>
      <c r="E142" t="s">
        <v>38</v>
      </c>
      <c r="F142" t="s">
        <v>45</v>
      </c>
      <c r="G142" t="s">
        <v>739</v>
      </c>
      <c r="H142" t="s">
        <v>96</v>
      </c>
      <c r="I142" t="s">
        <v>735</v>
      </c>
      <c r="J142">
        <v>2</v>
      </c>
      <c r="K142">
        <v>1</v>
      </c>
      <c r="L142" t="s">
        <v>736</v>
      </c>
      <c r="M142" s="8">
        <v>1344460</v>
      </c>
      <c r="N142">
        <v>66</v>
      </c>
      <c r="O142">
        <v>12</v>
      </c>
      <c r="P142">
        <f t="shared" si="8"/>
        <v>14</v>
      </c>
      <c r="Q142" t="str">
        <f t="shared" si="9"/>
        <v>Review Required</v>
      </c>
      <c r="R142" t="str">
        <f t="shared" si="10"/>
        <v>Yes</v>
      </c>
      <c r="S142" t="str">
        <f t="shared" si="11"/>
        <v>Review defect trend and containment</v>
      </c>
    </row>
    <row r="143" spans="1:19" x14ac:dyDescent="0.35">
      <c r="A143" t="s">
        <v>882</v>
      </c>
      <c r="B143" s="5">
        <v>46214</v>
      </c>
      <c r="C143" t="s">
        <v>22</v>
      </c>
      <c r="D143" t="s">
        <v>27</v>
      </c>
      <c r="E143" t="s">
        <v>34</v>
      </c>
      <c r="F143" t="s">
        <v>47</v>
      </c>
      <c r="G143" t="s">
        <v>742</v>
      </c>
      <c r="H143" t="s">
        <v>731</v>
      </c>
      <c r="I143" t="s">
        <v>732</v>
      </c>
      <c r="J143">
        <v>5</v>
      </c>
      <c r="K143">
        <v>5</v>
      </c>
      <c r="L143" t="s">
        <v>733</v>
      </c>
      <c r="M143" s="8">
        <v>1587724</v>
      </c>
      <c r="N143">
        <v>46</v>
      </c>
      <c r="O143">
        <v>12</v>
      </c>
      <c r="P143">
        <f t="shared" si="8"/>
        <v>25</v>
      </c>
      <c r="Q143" t="str">
        <f t="shared" si="9"/>
        <v>Review Required</v>
      </c>
      <c r="R143" t="str">
        <f t="shared" si="10"/>
        <v>Yes</v>
      </c>
      <c r="S143" t="str">
        <f t="shared" si="11"/>
        <v>Continue monitoring</v>
      </c>
    </row>
    <row r="144" spans="1:19" x14ac:dyDescent="0.35">
      <c r="A144" t="s">
        <v>883</v>
      </c>
      <c r="B144" s="5">
        <v>46101</v>
      </c>
      <c r="C144" t="s">
        <v>25</v>
      </c>
      <c r="D144" t="s">
        <v>32</v>
      </c>
      <c r="E144" t="s">
        <v>36</v>
      </c>
      <c r="F144" t="s">
        <v>42</v>
      </c>
      <c r="G144" t="s">
        <v>742</v>
      </c>
      <c r="H144" t="s">
        <v>731</v>
      </c>
      <c r="I144" t="s">
        <v>732</v>
      </c>
      <c r="J144">
        <v>5</v>
      </c>
      <c r="K144">
        <v>5</v>
      </c>
      <c r="L144" t="s">
        <v>745</v>
      </c>
      <c r="M144" s="8">
        <v>857683</v>
      </c>
      <c r="N144">
        <v>65</v>
      </c>
      <c r="O144">
        <v>12</v>
      </c>
      <c r="P144">
        <f t="shared" si="8"/>
        <v>25</v>
      </c>
      <c r="Q144" t="str">
        <f t="shared" si="9"/>
        <v>Review Required</v>
      </c>
      <c r="R144" t="str">
        <f t="shared" si="10"/>
        <v>Yes</v>
      </c>
      <c r="S144" t="str">
        <f t="shared" si="11"/>
        <v>Continue monitoring</v>
      </c>
    </row>
    <row r="145" spans="1:19" x14ac:dyDescent="0.35">
      <c r="A145" t="s">
        <v>884</v>
      </c>
      <c r="B145" s="5">
        <v>46054</v>
      </c>
      <c r="C145" t="s">
        <v>24</v>
      </c>
      <c r="D145" t="s">
        <v>30</v>
      </c>
      <c r="E145" t="s">
        <v>38</v>
      </c>
      <c r="F145" t="s">
        <v>42</v>
      </c>
      <c r="G145" t="s">
        <v>742</v>
      </c>
      <c r="H145" t="s">
        <v>731</v>
      </c>
      <c r="I145" t="s">
        <v>735</v>
      </c>
      <c r="J145">
        <v>2</v>
      </c>
      <c r="K145">
        <v>1</v>
      </c>
      <c r="L145" t="s">
        <v>736</v>
      </c>
      <c r="M145" s="8">
        <v>2137794</v>
      </c>
      <c r="N145">
        <v>27</v>
      </c>
      <c r="O145">
        <v>12</v>
      </c>
      <c r="P145">
        <f t="shared" si="8"/>
        <v>7</v>
      </c>
      <c r="Q145" t="str">
        <f t="shared" si="9"/>
        <v>Monitor</v>
      </c>
      <c r="R145" t="str">
        <f t="shared" si="10"/>
        <v>No</v>
      </c>
      <c r="S145" t="str">
        <f t="shared" si="11"/>
        <v>Escalate supplier readiness</v>
      </c>
    </row>
    <row r="146" spans="1:19" x14ac:dyDescent="0.35">
      <c r="A146" t="s">
        <v>885</v>
      </c>
      <c r="B146" s="5">
        <v>46048</v>
      </c>
      <c r="C146" t="s">
        <v>22</v>
      </c>
      <c r="D146" t="s">
        <v>30</v>
      </c>
      <c r="E146" t="s">
        <v>39</v>
      </c>
      <c r="F146" t="s">
        <v>47</v>
      </c>
      <c r="G146" t="s">
        <v>742</v>
      </c>
      <c r="H146" t="s">
        <v>731</v>
      </c>
      <c r="I146" t="s">
        <v>732</v>
      </c>
      <c r="J146">
        <v>1</v>
      </c>
      <c r="K146">
        <v>4</v>
      </c>
      <c r="L146" t="s">
        <v>743</v>
      </c>
      <c r="M146" s="8">
        <v>427433</v>
      </c>
      <c r="N146">
        <v>11</v>
      </c>
      <c r="O146">
        <v>12</v>
      </c>
      <c r="P146">
        <f t="shared" si="8"/>
        <v>4</v>
      </c>
      <c r="Q146" t="str">
        <f t="shared" si="9"/>
        <v>Monitor</v>
      </c>
      <c r="R146" t="str">
        <f t="shared" si="10"/>
        <v>No</v>
      </c>
      <c r="S146" t="str">
        <f t="shared" si="11"/>
        <v>Continue monitoring</v>
      </c>
    </row>
    <row r="147" spans="1:19" x14ac:dyDescent="0.35">
      <c r="A147" t="s">
        <v>886</v>
      </c>
      <c r="B147" s="5">
        <v>46159</v>
      </c>
      <c r="C147" t="s">
        <v>25</v>
      </c>
      <c r="D147" t="s">
        <v>30</v>
      </c>
      <c r="E147" t="s">
        <v>38</v>
      </c>
      <c r="F147" t="s">
        <v>45</v>
      </c>
      <c r="G147" t="s">
        <v>730</v>
      </c>
      <c r="H147" t="s">
        <v>731</v>
      </c>
      <c r="I147" t="s">
        <v>732</v>
      </c>
      <c r="J147">
        <v>4</v>
      </c>
      <c r="K147">
        <v>1</v>
      </c>
      <c r="L147" t="s">
        <v>736</v>
      </c>
      <c r="M147" s="8">
        <v>1144543</v>
      </c>
      <c r="N147">
        <v>9</v>
      </c>
      <c r="O147">
        <v>12</v>
      </c>
      <c r="P147">
        <f t="shared" si="8"/>
        <v>4</v>
      </c>
      <c r="Q147" t="str">
        <f t="shared" si="9"/>
        <v>Monitor</v>
      </c>
      <c r="R147" t="str">
        <f t="shared" si="10"/>
        <v>No</v>
      </c>
      <c r="S147" t="str">
        <f t="shared" si="11"/>
        <v>Continue monitoring</v>
      </c>
    </row>
    <row r="148" spans="1:19" x14ac:dyDescent="0.35">
      <c r="A148" t="s">
        <v>887</v>
      </c>
      <c r="B148" s="5">
        <v>46210</v>
      </c>
      <c r="C148" t="s">
        <v>24</v>
      </c>
      <c r="D148" t="s">
        <v>31</v>
      </c>
      <c r="E148" t="s">
        <v>39</v>
      </c>
      <c r="F148" t="s">
        <v>45</v>
      </c>
      <c r="G148" t="s">
        <v>739</v>
      </c>
      <c r="H148" t="s">
        <v>731</v>
      </c>
      <c r="I148" t="s">
        <v>735</v>
      </c>
      <c r="J148">
        <v>3</v>
      </c>
      <c r="K148">
        <v>5</v>
      </c>
      <c r="L148" t="s">
        <v>745</v>
      </c>
      <c r="M148" s="8">
        <v>1091376</v>
      </c>
      <c r="N148">
        <v>9</v>
      </c>
      <c r="O148">
        <v>12</v>
      </c>
      <c r="P148">
        <f t="shared" si="8"/>
        <v>25</v>
      </c>
      <c r="Q148" t="str">
        <f t="shared" si="9"/>
        <v>Review Required</v>
      </c>
      <c r="R148" t="str">
        <f t="shared" si="10"/>
        <v>Yes</v>
      </c>
      <c r="S148" t="str">
        <f t="shared" si="11"/>
        <v>Review defect trend and containment</v>
      </c>
    </row>
    <row r="149" spans="1:19" x14ac:dyDescent="0.35">
      <c r="A149" t="s">
        <v>888</v>
      </c>
      <c r="B149" s="5">
        <v>46226</v>
      </c>
      <c r="C149" t="s">
        <v>24</v>
      </c>
      <c r="D149" t="s">
        <v>30</v>
      </c>
      <c r="E149" t="s">
        <v>37</v>
      </c>
      <c r="F149" t="s">
        <v>47</v>
      </c>
      <c r="G149" t="s">
        <v>730</v>
      </c>
      <c r="H149" t="s">
        <v>731</v>
      </c>
      <c r="I149" t="s">
        <v>732</v>
      </c>
      <c r="J149">
        <v>5</v>
      </c>
      <c r="K149">
        <v>5</v>
      </c>
      <c r="L149" t="s">
        <v>745</v>
      </c>
      <c r="M149" s="8">
        <v>1668621</v>
      </c>
      <c r="N149">
        <v>38</v>
      </c>
      <c r="O149">
        <v>12</v>
      </c>
      <c r="P149">
        <f t="shared" si="8"/>
        <v>25</v>
      </c>
      <c r="Q149" t="str">
        <f t="shared" si="9"/>
        <v>Review Required</v>
      </c>
      <c r="R149" t="str">
        <f t="shared" si="10"/>
        <v>Yes</v>
      </c>
      <c r="S149" t="str">
        <f t="shared" si="11"/>
        <v>Continue monitoring</v>
      </c>
    </row>
    <row r="150" spans="1:19" x14ac:dyDescent="0.35">
      <c r="A150" t="s">
        <v>889</v>
      </c>
      <c r="B150" s="5">
        <v>46265</v>
      </c>
      <c r="C150" t="s">
        <v>23</v>
      </c>
      <c r="D150" t="s">
        <v>30</v>
      </c>
      <c r="E150" t="s">
        <v>39</v>
      </c>
      <c r="F150" t="s">
        <v>45</v>
      </c>
      <c r="G150" t="s">
        <v>742</v>
      </c>
      <c r="H150" t="s">
        <v>731</v>
      </c>
      <c r="I150" t="s">
        <v>732</v>
      </c>
      <c r="J150">
        <v>3</v>
      </c>
      <c r="K150">
        <v>1</v>
      </c>
      <c r="L150" t="s">
        <v>743</v>
      </c>
      <c r="M150" s="8">
        <v>1159294</v>
      </c>
      <c r="N150">
        <v>39</v>
      </c>
      <c r="O150">
        <v>12</v>
      </c>
      <c r="P150">
        <f t="shared" si="8"/>
        <v>3</v>
      </c>
      <c r="Q150" t="str">
        <f t="shared" si="9"/>
        <v>Monitor</v>
      </c>
      <c r="R150" t="str">
        <f t="shared" si="10"/>
        <v>No</v>
      </c>
      <c r="S150" t="str">
        <f t="shared" si="11"/>
        <v>Continue monitoring</v>
      </c>
    </row>
    <row r="151" spans="1:19" x14ac:dyDescent="0.35">
      <c r="A151" t="s">
        <v>890</v>
      </c>
      <c r="B151" s="5">
        <v>46162</v>
      </c>
      <c r="C151" t="s">
        <v>25</v>
      </c>
      <c r="D151" t="s">
        <v>32</v>
      </c>
      <c r="E151" t="s">
        <v>37</v>
      </c>
      <c r="F151" t="s">
        <v>46</v>
      </c>
      <c r="G151" t="s">
        <v>742</v>
      </c>
      <c r="H151" t="s">
        <v>731</v>
      </c>
      <c r="I151" t="s">
        <v>732</v>
      </c>
      <c r="J151">
        <v>3</v>
      </c>
      <c r="K151">
        <v>3</v>
      </c>
      <c r="L151" t="s">
        <v>743</v>
      </c>
      <c r="M151" s="8">
        <v>2464785</v>
      </c>
      <c r="N151">
        <v>25</v>
      </c>
      <c r="O151">
        <v>12</v>
      </c>
      <c r="P151">
        <f t="shared" si="8"/>
        <v>9</v>
      </c>
      <c r="Q151" t="str">
        <f t="shared" si="9"/>
        <v>Approaching Review</v>
      </c>
      <c r="R151" t="str">
        <f t="shared" si="10"/>
        <v>No</v>
      </c>
      <c r="S151" t="str">
        <f t="shared" si="11"/>
        <v>Continue monitoring</v>
      </c>
    </row>
    <row r="152" spans="1:19" x14ac:dyDescent="0.35">
      <c r="A152" t="s">
        <v>891</v>
      </c>
      <c r="B152" s="5">
        <v>46155</v>
      </c>
      <c r="C152" t="s">
        <v>25</v>
      </c>
      <c r="D152" t="s">
        <v>27</v>
      </c>
      <c r="E152" t="s">
        <v>36</v>
      </c>
      <c r="F152" t="s">
        <v>47</v>
      </c>
      <c r="G152" t="s">
        <v>730</v>
      </c>
      <c r="H152" t="s">
        <v>731</v>
      </c>
      <c r="I152" t="s">
        <v>735</v>
      </c>
      <c r="J152">
        <v>5</v>
      </c>
      <c r="K152">
        <v>4</v>
      </c>
      <c r="L152" t="s">
        <v>733</v>
      </c>
      <c r="M152" s="8">
        <v>1799110</v>
      </c>
      <c r="N152">
        <v>55</v>
      </c>
      <c r="O152">
        <v>12</v>
      </c>
      <c r="P152">
        <f t="shared" si="8"/>
        <v>25</v>
      </c>
      <c r="Q152" t="str">
        <f t="shared" si="9"/>
        <v>Review Required</v>
      </c>
      <c r="R152" t="str">
        <f t="shared" si="10"/>
        <v>Yes</v>
      </c>
      <c r="S152" t="str">
        <f t="shared" si="11"/>
        <v>Escalate supplier readiness</v>
      </c>
    </row>
    <row r="153" spans="1:19" x14ac:dyDescent="0.35">
      <c r="A153" t="s">
        <v>892</v>
      </c>
      <c r="B153" s="5">
        <v>46147</v>
      </c>
      <c r="C153" t="s">
        <v>22</v>
      </c>
      <c r="D153" t="s">
        <v>31</v>
      </c>
      <c r="E153" t="s">
        <v>34</v>
      </c>
      <c r="F153" t="s">
        <v>42</v>
      </c>
      <c r="G153" t="s">
        <v>739</v>
      </c>
      <c r="H153" t="s">
        <v>731</v>
      </c>
      <c r="I153" t="s">
        <v>747</v>
      </c>
      <c r="J153">
        <v>3</v>
      </c>
      <c r="K153">
        <v>1</v>
      </c>
      <c r="L153" t="s">
        <v>743</v>
      </c>
      <c r="M153" s="8">
        <v>2081837</v>
      </c>
      <c r="N153">
        <v>52</v>
      </c>
      <c r="O153">
        <v>12</v>
      </c>
      <c r="P153">
        <f t="shared" si="8"/>
        <v>10</v>
      </c>
      <c r="Q153" t="str">
        <f t="shared" si="9"/>
        <v>Approaching Review</v>
      </c>
      <c r="R153" t="str">
        <f t="shared" si="10"/>
        <v>No</v>
      </c>
      <c r="S153" t="str">
        <f t="shared" si="11"/>
        <v>Review defect trend and containment</v>
      </c>
    </row>
    <row r="154" spans="1:19" x14ac:dyDescent="0.35">
      <c r="A154" t="s">
        <v>893</v>
      </c>
      <c r="B154" s="5">
        <v>46153</v>
      </c>
      <c r="C154" t="s">
        <v>22</v>
      </c>
      <c r="D154" t="s">
        <v>30</v>
      </c>
      <c r="E154" t="s">
        <v>34</v>
      </c>
      <c r="F154" t="s">
        <v>45</v>
      </c>
      <c r="G154" t="s">
        <v>739</v>
      </c>
      <c r="H154" t="s">
        <v>731</v>
      </c>
      <c r="I154" t="s">
        <v>732</v>
      </c>
      <c r="J154">
        <v>5</v>
      </c>
      <c r="K154">
        <v>4</v>
      </c>
      <c r="L154" t="s">
        <v>745</v>
      </c>
      <c r="M154" s="8">
        <v>711496</v>
      </c>
      <c r="N154">
        <v>53</v>
      </c>
      <c r="O154">
        <v>12</v>
      </c>
      <c r="P154">
        <f t="shared" si="8"/>
        <v>25</v>
      </c>
      <c r="Q154" t="str">
        <f t="shared" si="9"/>
        <v>Review Required</v>
      </c>
      <c r="R154" t="str">
        <f t="shared" si="10"/>
        <v>Yes</v>
      </c>
      <c r="S154" t="str">
        <f t="shared" si="11"/>
        <v>Review defect trend and containment</v>
      </c>
    </row>
    <row r="155" spans="1:19" x14ac:dyDescent="0.35">
      <c r="A155" t="s">
        <v>894</v>
      </c>
      <c r="B155" s="5">
        <v>46217</v>
      </c>
      <c r="C155" t="s">
        <v>22</v>
      </c>
      <c r="D155" t="s">
        <v>27</v>
      </c>
      <c r="E155" t="s">
        <v>36</v>
      </c>
      <c r="F155" t="s">
        <v>48</v>
      </c>
      <c r="G155" t="s">
        <v>730</v>
      </c>
      <c r="H155" t="s">
        <v>96</v>
      </c>
      <c r="I155" t="s">
        <v>732</v>
      </c>
      <c r="J155">
        <v>4</v>
      </c>
      <c r="K155">
        <v>4</v>
      </c>
      <c r="L155" t="s">
        <v>733</v>
      </c>
      <c r="M155" s="8">
        <v>278634</v>
      </c>
      <c r="N155">
        <v>28</v>
      </c>
      <c r="O155">
        <v>12</v>
      </c>
      <c r="P155">
        <f t="shared" si="8"/>
        <v>18</v>
      </c>
      <c r="Q155" t="str">
        <f t="shared" si="9"/>
        <v>Review Required</v>
      </c>
      <c r="R155" t="str">
        <f t="shared" si="10"/>
        <v>Yes</v>
      </c>
      <c r="S155" t="str">
        <f t="shared" si="11"/>
        <v>Continue monitoring</v>
      </c>
    </row>
    <row r="156" spans="1:19" x14ac:dyDescent="0.35">
      <c r="A156" t="s">
        <v>895</v>
      </c>
      <c r="B156" s="5">
        <v>46046</v>
      </c>
      <c r="C156" t="s">
        <v>23</v>
      </c>
      <c r="D156" t="s">
        <v>29</v>
      </c>
      <c r="E156" t="s">
        <v>34</v>
      </c>
      <c r="F156" t="s">
        <v>45</v>
      </c>
      <c r="G156" t="s">
        <v>742</v>
      </c>
      <c r="H156" t="s">
        <v>731</v>
      </c>
      <c r="I156" t="s">
        <v>735</v>
      </c>
      <c r="J156">
        <v>1</v>
      </c>
      <c r="K156">
        <v>4</v>
      </c>
      <c r="L156" t="s">
        <v>743</v>
      </c>
      <c r="M156" s="8">
        <v>261371</v>
      </c>
      <c r="N156">
        <v>31</v>
      </c>
      <c r="O156">
        <v>12</v>
      </c>
      <c r="P156">
        <f t="shared" si="8"/>
        <v>9</v>
      </c>
      <c r="Q156" t="str">
        <f t="shared" si="9"/>
        <v>Approaching Review</v>
      </c>
      <c r="R156" t="str">
        <f t="shared" si="10"/>
        <v>No</v>
      </c>
      <c r="S156" t="str">
        <f t="shared" si="11"/>
        <v>Escalate supplier readiness</v>
      </c>
    </row>
    <row r="157" spans="1:19" x14ac:dyDescent="0.35">
      <c r="A157" t="s">
        <v>896</v>
      </c>
      <c r="B157" s="5">
        <v>46151</v>
      </c>
      <c r="C157" t="s">
        <v>23</v>
      </c>
      <c r="D157" t="s">
        <v>29</v>
      </c>
      <c r="E157" t="s">
        <v>39</v>
      </c>
      <c r="F157" t="s">
        <v>46</v>
      </c>
      <c r="G157" t="s">
        <v>730</v>
      </c>
      <c r="H157" t="s">
        <v>731</v>
      </c>
      <c r="I157" t="s">
        <v>735</v>
      </c>
      <c r="J157">
        <v>2</v>
      </c>
      <c r="K157">
        <v>1</v>
      </c>
      <c r="L157" t="s">
        <v>743</v>
      </c>
      <c r="M157" s="8">
        <v>2260127</v>
      </c>
      <c r="N157">
        <v>4</v>
      </c>
      <c r="O157">
        <v>12</v>
      </c>
      <c r="P157">
        <f t="shared" si="8"/>
        <v>7</v>
      </c>
      <c r="Q157" t="str">
        <f t="shared" si="9"/>
        <v>Monitor</v>
      </c>
      <c r="R157" t="str">
        <f t="shared" si="10"/>
        <v>No</v>
      </c>
      <c r="S157" t="str">
        <f t="shared" si="11"/>
        <v>Escalate supplier readiness</v>
      </c>
    </row>
    <row r="158" spans="1:19" x14ac:dyDescent="0.35">
      <c r="A158" t="s">
        <v>897</v>
      </c>
      <c r="B158" s="5">
        <v>46085</v>
      </c>
      <c r="C158" t="s">
        <v>23</v>
      </c>
      <c r="D158" t="s">
        <v>31</v>
      </c>
      <c r="E158" t="s">
        <v>40</v>
      </c>
      <c r="F158" t="s">
        <v>45</v>
      </c>
      <c r="G158" t="s">
        <v>730</v>
      </c>
      <c r="H158" t="s">
        <v>731</v>
      </c>
      <c r="I158" t="s">
        <v>732</v>
      </c>
      <c r="J158">
        <v>2</v>
      </c>
      <c r="K158">
        <v>2</v>
      </c>
      <c r="L158" t="s">
        <v>743</v>
      </c>
      <c r="M158" s="8">
        <v>2344644</v>
      </c>
      <c r="N158">
        <v>40</v>
      </c>
      <c r="O158">
        <v>12</v>
      </c>
      <c r="P158">
        <f t="shared" si="8"/>
        <v>4</v>
      </c>
      <c r="Q158" t="str">
        <f t="shared" si="9"/>
        <v>Monitor</v>
      </c>
      <c r="R158" t="str">
        <f t="shared" si="10"/>
        <v>No</v>
      </c>
      <c r="S158" t="str">
        <f t="shared" si="11"/>
        <v>Continue monitoring</v>
      </c>
    </row>
    <row r="159" spans="1:19" x14ac:dyDescent="0.35">
      <c r="A159" t="s">
        <v>898</v>
      </c>
      <c r="B159" s="5">
        <v>46070</v>
      </c>
      <c r="C159" t="s">
        <v>22</v>
      </c>
      <c r="D159" t="s">
        <v>27</v>
      </c>
      <c r="E159" t="s">
        <v>37</v>
      </c>
      <c r="F159" t="s">
        <v>44</v>
      </c>
      <c r="G159" t="s">
        <v>742</v>
      </c>
      <c r="H159" t="s">
        <v>731</v>
      </c>
      <c r="I159" t="s">
        <v>732</v>
      </c>
      <c r="J159">
        <v>2</v>
      </c>
      <c r="K159">
        <v>4</v>
      </c>
      <c r="L159" t="s">
        <v>743</v>
      </c>
      <c r="M159" s="8">
        <v>1859935</v>
      </c>
      <c r="N159">
        <v>26</v>
      </c>
      <c r="O159">
        <v>12</v>
      </c>
      <c r="P159">
        <f t="shared" si="8"/>
        <v>8</v>
      </c>
      <c r="Q159" t="str">
        <f t="shared" si="9"/>
        <v>Monitor</v>
      </c>
      <c r="R159" t="str">
        <f t="shared" si="10"/>
        <v>No</v>
      </c>
      <c r="S159" t="str">
        <f t="shared" si="11"/>
        <v>Continue monitoring</v>
      </c>
    </row>
    <row r="160" spans="1:19" x14ac:dyDescent="0.35">
      <c r="A160" t="s">
        <v>899</v>
      </c>
      <c r="B160" s="5">
        <v>46243</v>
      </c>
      <c r="C160" t="s">
        <v>25</v>
      </c>
      <c r="D160" t="s">
        <v>30</v>
      </c>
      <c r="E160" t="s">
        <v>36</v>
      </c>
      <c r="F160" t="s">
        <v>46</v>
      </c>
      <c r="G160" t="s">
        <v>730</v>
      </c>
      <c r="H160" t="s">
        <v>731</v>
      </c>
      <c r="I160" t="s">
        <v>732</v>
      </c>
      <c r="J160">
        <v>5</v>
      </c>
      <c r="K160">
        <v>5</v>
      </c>
      <c r="L160" t="s">
        <v>733</v>
      </c>
      <c r="M160" s="8">
        <v>2112691</v>
      </c>
      <c r="N160">
        <v>64</v>
      </c>
      <c r="O160">
        <v>12</v>
      </c>
      <c r="P160">
        <f t="shared" si="8"/>
        <v>25</v>
      </c>
      <c r="Q160" t="str">
        <f t="shared" si="9"/>
        <v>Review Required</v>
      </c>
      <c r="R160" t="str">
        <f t="shared" si="10"/>
        <v>Yes</v>
      </c>
      <c r="S160" t="str">
        <f t="shared" si="11"/>
        <v>Continue monitoring</v>
      </c>
    </row>
    <row r="161" spans="1:19" x14ac:dyDescent="0.35">
      <c r="A161" t="s">
        <v>900</v>
      </c>
      <c r="B161" s="5">
        <v>46216</v>
      </c>
      <c r="C161" t="s">
        <v>20</v>
      </c>
      <c r="D161" t="s">
        <v>29</v>
      </c>
      <c r="E161" t="s">
        <v>34</v>
      </c>
      <c r="F161" t="s">
        <v>42</v>
      </c>
      <c r="G161" t="s">
        <v>742</v>
      </c>
      <c r="H161" t="s">
        <v>731</v>
      </c>
      <c r="I161" t="s">
        <v>735</v>
      </c>
      <c r="J161">
        <v>3</v>
      </c>
      <c r="K161">
        <v>5</v>
      </c>
      <c r="L161" t="s">
        <v>736</v>
      </c>
      <c r="M161" s="8">
        <v>474459</v>
      </c>
      <c r="N161">
        <v>33</v>
      </c>
      <c r="O161">
        <v>12</v>
      </c>
      <c r="P161">
        <f t="shared" si="8"/>
        <v>20</v>
      </c>
      <c r="Q161" t="str">
        <f t="shared" si="9"/>
        <v>Review Required</v>
      </c>
      <c r="R161" t="str">
        <f t="shared" si="10"/>
        <v>Yes</v>
      </c>
      <c r="S161" t="str">
        <f t="shared" si="11"/>
        <v>Escalate supplier readiness</v>
      </c>
    </row>
    <row r="162" spans="1:19" x14ac:dyDescent="0.35">
      <c r="A162" t="s">
        <v>901</v>
      </c>
      <c r="B162" s="5">
        <v>46113</v>
      </c>
      <c r="C162" t="s">
        <v>23</v>
      </c>
      <c r="D162" t="s">
        <v>31</v>
      </c>
      <c r="E162" t="s">
        <v>36</v>
      </c>
      <c r="F162" t="s">
        <v>47</v>
      </c>
      <c r="G162" t="s">
        <v>739</v>
      </c>
      <c r="H162" t="s">
        <v>731</v>
      </c>
      <c r="I162" t="s">
        <v>735</v>
      </c>
      <c r="J162">
        <v>1</v>
      </c>
      <c r="K162">
        <v>3</v>
      </c>
      <c r="L162" t="s">
        <v>743</v>
      </c>
      <c r="M162" s="8">
        <v>1399981</v>
      </c>
      <c r="N162">
        <v>18</v>
      </c>
      <c r="O162">
        <v>12</v>
      </c>
      <c r="P162">
        <f t="shared" si="8"/>
        <v>13</v>
      </c>
      <c r="Q162" t="str">
        <f t="shared" si="9"/>
        <v>Review Required</v>
      </c>
      <c r="R162" t="str">
        <f t="shared" si="10"/>
        <v>Yes</v>
      </c>
      <c r="S162" t="str">
        <f t="shared" si="11"/>
        <v>Review defect trend and containment</v>
      </c>
    </row>
    <row r="163" spans="1:19" x14ac:dyDescent="0.35">
      <c r="A163" t="s">
        <v>902</v>
      </c>
      <c r="B163" s="5">
        <v>46203</v>
      </c>
      <c r="C163" t="s">
        <v>22</v>
      </c>
      <c r="D163" t="s">
        <v>27</v>
      </c>
      <c r="E163" t="s">
        <v>38</v>
      </c>
      <c r="F163" t="s">
        <v>42</v>
      </c>
      <c r="G163" t="s">
        <v>730</v>
      </c>
      <c r="H163" t="s">
        <v>96</v>
      </c>
      <c r="I163" t="s">
        <v>747</v>
      </c>
      <c r="J163">
        <v>4</v>
      </c>
      <c r="K163">
        <v>2</v>
      </c>
      <c r="L163" t="s">
        <v>733</v>
      </c>
      <c r="M163" s="8">
        <v>753424</v>
      </c>
      <c r="N163">
        <v>58</v>
      </c>
      <c r="O163">
        <v>12</v>
      </c>
      <c r="P163">
        <f t="shared" si="8"/>
        <v>12</v>
      </c>
      <c r="Q163" t="str">
        <f t="shared" si="9"/>
        <v>Review Required</v>
      </c>
      <c r="R163" t="str">
        <f t="shared" si="10"/>
        <v>Yes</v>
      </c>
      <c r="S163" t="str">
        <f t="shared" si="11"/>
        <v>Continue monitoring</v>
      </c>
    </row>
    <row r="164" spans="1:19" x14ac:dyDescent="0.35">
      <c r="A164" t="s">
        <v>903</v>
      </c>
      <c r="B164" s="5">
        <v>46201</v>
      </c>
      <c r="C164" t="s">
        <v>20</v>
      </c>
      <c r="D164" t="s">
        <v>31</v>
      </c>
      <c r="E164" t="s">
        <v>36</v>
      </c>
      <c r="F164" t="s">
        <v>47</v>
      </c>
      <c r="G164" t="s">
        <v>742</v>
      </c>
      <c r="H164" t="s">
        <v>731</v>
      </c>
      <c r="I164" t="s">
        <v>732</v>
      </c>
      <c r="J164">
        <v>4</v>
      </c>
      <c r="K164">
        <v>5</v>
      </c>
      <c r="L164" t="s">
        <v>736</v>
      </c>
      <c r="M164" s="8">
        <v>2138485</v>
      </c>
      <c r="N164">
        <v>10</v>
      </c>
      <c r="O164">
        <v>12</v>
      </c>
      <c r="P164">
        <f t="shared" si="8"/>
        <v>20</v>
      </c>
      <c r="Q164" t="str">
        <f t="shared" si="9"/>
        <v>Review Required</v>
      </c>
      <c r="R164" t="str">
        <f t="shared" si="10"/>
        <v>Yes</v>
      </c>
      <c r="S164" t="str">
        <f t="shared" si="11"/>
        <v>Continue monitoring</v>
      </c>
    </row>
    <row r="165" spans="1:19" x14ac:dyDescent="0.35">
      <c r="A165" t="s">
        <v>904</v>
      </c>
      <c r="B165" s="5">
        <v>46286</v>
      </c>
      <c r="C165" t="s">
        <v>23</v>
      </c>
      <c r="D165" t="s">
        <v>32</v>
      </c>
      <c r="E165" t="s">
        <v>37</v>
      </c>
      <c r="F165" t="s">
        <v>44</v>
      </c>
      <c r="G165" t="s">
        <v>739</v>
      </c>
      <c r="H165" t="s">
        <v>731</v>
      </c>
      <c r="I165" t="s">
        <v>747</v>
      </c>
      <c r="J165">
        <v>4</v>
      </c>
      <c r="K165">
        <v>2</v>
      </c>
      <c r="L165" t="s">
        <v>736</v>
      </c>
      <c r="M165" s="8">
        <v>755174</v>
      </c>
      <c r="N165">
        <v>20</v>
      </c>
      <c r="O165">
        <v>12</v>
      </c>
      <c r="P165">
        <f t="shared" si="8"/>
        <v>15</v>
      </c>
      <c r="Q165" t="str">
        <f t="shared" si="9"/>
        <v>Review Required</v>
      </c>
      <c r="R165" t="str">
        <f t="shared" si="10"/>
        <v>Yes</v>
      </c>
      <c r="S165" t="str">
        <f t="shared" si="11"/>
        <v>Review defect trend and containment</v>
      </c>
    </row>
    <row r="166" spans="1:19" x14ac:dyDescent="0.35">
      <c r="A166" t="s">
        <v>905</v>
      </c>
      <c r="B166" s="5">
        <v>46070</v>
      </c>
      <c r="C166" t="s">
        <v>23</v>
      </c>
      <c r="D166" t="s">
        <v>27</v>
      </c>
      <c r="E166" t="s">
        <v>37</v>
      </c>
      <c r="F166" t="s">
        <v>46</v>
      </c>
      <c r="G166" t="s">
        <v>730</v>
      </c>
      <c r="H166" t="s">
        <v>96</v>
      </c>
      <c r="I166" t="s">
        <v>732</v>
      </c>
      <c r="J166">
        <v>3</v>
      </c>
      <c r="K166">
        <v>5</v>
      </c>
      <c r="L166" t="s">
        <v>743</v>
      </c>
      <c r="M166" s="8">
        <v>2310751</v>
      </c>
      <c r="N166">
        <v>27</v>
      </c>
      <c r="O166">
        <v>12</v>
      </c>
      <c r="P166">
        <f t="shared" si="8"/>
        <v>17</v>
      </c>
      <c r="Q166" t="str">
        <f t="shared" si="9"/>
        <v>Review Required</v>
      </c>
      <c r="R166" t="str">
        <f t="shared" si="10"/>
        <v>Yes</v>
      </c>
      <c r="S166" t="str">
        <f t="shared" si="11"/>
        <v>Continue monitoring</v>
      </c>
    </row>
    <row r="167" spans="1:19" x14ac:dyDescent="0.35">
      <c r="A167" t="s">
        <v>906</v>
      </c>
      <c r="B167" s="5">
        <v>46237</v>
      </c>
      <c r="C167" t="s">
        <v>22</v>
      </c>
      <c r="D167" t="s">
        <v>29</v>
      </c>
      <c r="E167" t="s">
        <v>39</v>
      </c>
      <c r="F167" t="s">
        <v>45</v>
      </c>
      <c r="G167" t="s">
        <v>730</v>
      </c>
      <c r="H167" t="s">
        <v>731</v>
      </c>
      <c r="I167" t="s">
        <v>747</v>
      </c>
      <c r="J167">
        <v>2</v>
      </c>
      <c r="K167">
        <v>1</v>
      </c>
      <c r="L167" t="s">
        <v>733</v>
      </c>
      <c r="M167" s="8">
        <v>1659086</v>
      </c>
      <c r="N167">
        <v>10</v>
      </c>
      <c r="O167">
        <v>12</v>
      </c>
      <c r="P167">
        <f t="shared" si="8"/>
        <v>4</v>
      </c>
      <c r="Q167" t="str">
        <f t="shared" si="9"/>
        <v>Monitor</v>
      </c>
      <c r="R167" t="str">
        <f t="shared" si="10"/>
        <v>No</v>
      </c>
      <c r="S167" t="str">
        <f t="shared" si="11"/>
        <v>Continue monitoring</v>
      </c>
    </row>
    <row r="168" spans="1:19" x14ac:dyDescent="0.35">
      <c r="A168" t="s">
        <v>907</v>
      </c>
      <c r="B168" s="5">
        <v>46204</v>
      </c>
      <c r="C168" t="s">
        <v>20</v>
      </c>
      <c r="D168" t="s">
        <v>32</v>
      </c>
      <c r="E168" t="s">
        <v>38</v>
      </c>
      <c r="F168" t="s">
        <v>48</v>
      </c>
      <c r="G168" t="s">
        <v>739</v>
      </c>
      <c r="H168" t="s">
        <v>731</v>
      </c>
      <c r="I168" t="s">
        <v>735</v>
      </c>
      <c r="J168">
        <v>3</v>
      </c>
      <c r="K168">
        <v>2</v>
      </c>
      <c r="L168" t="s">
        <v>733</v>
      </c>
      <c r="M168" s="8">
        <v>1183812</v>
      </c>
      <c r="N168">
        <v>52</v>
      </c>
      <c r="O168">
        <v>12</v>
      </c>
      <c r="P168">
        <f t="shared" si="8"/>
        <v>16</v>
      </c>
      <c r="Q168" t="str">
        <f t="shared" si="9"/>
        <v>Review Required</v>
      </c>
      <c r="R168" t="str">
        <f t="shared" si="10"/>
        <v>Yes</v>
      </c>
      <c r="S168" t="str">
        <f t="shared" si="11"/>
        <v>Review defect trend and containment</v>
      </c>
    </row>
    <row r="169" spans="1:19" x14ac:dyDescent="0.35">
      <c r="A169" t="s">
        <v>908</v>
      </c>
      <c r="B169" s="5">
        <v>46306</v>
      </c>
      <c r="C169" t="s">
        <v>22</v>
      </c>
      <c r="D169" t="s">
        <v>31</v>
      </c>
      <c r="E169" t="s">
        <v>39</v>
      </c>
      <c r="F169" t="s">
        <v>45</v>
      </c>
      <c r="G169" t="s">
        <v>739</v>
      </c>
      <c r="H169" t="s">
        <v>731</v>
      </c>
      <c r="I169" t="s">
        <v>732</v>
      </c>
      <c r="J169">
        <v>5</v>
      </c>
      <c r="K169">
        <v>4</v>
      </c>
      <c r="L169" t="s">
        <v>736</v>
      </c>
      <c r="M169" s="8">
        <v>1333503</v>
      </c>
      <c r="N169">
        <v>31</v>
      </c>
      <c r="O169">
        <v>12</v>
      </c>
      <c r="P169">
        <f t="shared" si="8"/>
        <v>25</v>
      </c>
      <c r="Q169" t="str">
        <f t="shared" si="9"/>
        <v>Review Required</v>
      </c>
      <c r="R169" t="str">
        <f t="shared" si="10"/>
        <v>Yes</v>
      </c>
      <c r="S169" t="str">
        <f t="shared" si="11"/>
        <v>Review defect trend and containment</v>
      </c>
    </row>
    <row r="170" spans="1:19" x14ac:dyDescent="0.35">
      <c r="A170" t="s">
        <v>909</v>
      </c>
      <c r="B170" s="5">
        <v>46305</v>
      </c>
      <c r="C170" t="s">
        <v>22</v>
      </c>
      <c r="D170" t="s">
        <v>29</v>
      </c>
      <c r="E170" t="s">
        <v>38</v>
      </c>
      <c r="F170" t="s">
        <v>48</v>
      </c>
      <c r="G170" t="s">
        <v>742</v>
      </c>
      <c r="H170" t="s">
        <v>731</v>
      </c>
      <c r="I170" t="s">
        <v>747</v>
      </c>
      <c r="J170">
        <v>5</v>
      </c>
      <c r="K170">
        <v>4</v>
      </c>
      <c r="L170" t="s">
        <v>733</v>
      </c>
      <c r="M170" s="8">
        <v>1159951</v>
      </c>
      <c r="N170">
        <v>9</v>
      </c>
      <c r="O170">
        <v>12</v>
      </c>
      <c r="P170">
        <f t="shared" si="8"/>
        <v>22</v>
      </c>
      <c r="Q170" t="str">
        <f t="shared" si="9"/>
        <v>Review Required</v>
      </c>
      <c r="R170" t="str">
        <f t="shared" si="10"/>
        <v>Yes</v>
      </c>
      <c r="S170" t="str">
        <f t="shared" si="11"/>
        <v>Continue monitoring</v>
      </c>
    </row>
    <row r="171" spans="1:19" x14ac:dyDescent="0.35">
      <c r="A171" t="s">
        <v>910</v>
      </c>
      <c r="B171" s="5">
        <v>46113</v>
      </c>
      <c r="C171" t="s">
        <v>25</v>
      </c>
      <c r="D171" t="s">
        <v>27</v>
      </c>
      <c r="E171" t="s">
        <v>40</v>
      </c>
      <c r="F171" t="s">
        <v>48</v>
      </c>
      <c r="G171" t="s">
        <v>742</v>
      </c>
      <c r="H171" t="s">
        <v>731</v>
      </c>
      <c r="I171" t="s">
        <v>735</v>
      </c>
      <c r="J171">
        <v>5</v>
      </c>
      <c r="K171">
        <v>3</v>
      </c>
      <c r="L171" t="s">
        <v>733</v>
      </c>
      <c r="M171" s="8">
        <v>2036179</v>
      </c>
      <c r="N171">
        <v>30</v>
      </c>
      <c r="O171">
        <v>12</v>
      </c>
      <c r="P171">
        <f t="shared" si="8"/>
        <v>20</v>
      </c>
      <c r="Q171" t="str">
        <f t="shared" si="9"/>
        <v>Review Required</v>
      </c>
      <c r="R171" t="str">
        <f t="shared" si="10"/>
        <v>Yes</v>
      </c>
      <c r="S171" t="str">
        <f t="shared" si="11"/>
        <v>Escalate supplier readiness</v>
      </c>
    </row>
    <row r="172" spans="1:19" x14ac:dyDescent="0.35">
      <c r="A172" t="s">
        <v>911</v>
      </c>
      <c r="B172" s="5">
        <v>46049</v>
      </c>
      <c r="C172" t="s">
        <v>23</v>
      </c>
      <c r="D172" t="s">
        <v>30</v>
      </c>
      <c r="E172" t="s">
        <v>34</v>
      </c>
      <c r="F172" t="s">
        <v>46</v>
      </c>
      <c r="G172" t="s">
        <v>739</v>
      </c>
      <c r="H172" t="s">
        <v>731</v>
      </c>
      <c r="I172" t="s">
        <v>732</v>
      </c>
      <c r="J172">
        <v>4</v>
      </c>
      <c r="K172">
        <v>5</v>
      </c>
      <c r="L172" t="s">
        <v>745</v>
      </c>
      <c r="M172" s="8">
        <v>1538921</v>
      </c>
      <c r="N172">
        <v>37</v>
      </c>
      <c r="O172">
        <v>12</v>
      </c>
      <c r="P172">
        <f t="shared" si="8"/>
        <v>25</v>
      </c>
      <c r="Q172" t="str">
        <f t="shared" si="9"/>
        <v>Review Required</v>
      </c>
      <c r="R172" t="str">
        <f t="shared" si="10"/>
        <v>Yes</v>
      </c>
      <c r="S172" t="str">
        <f t="shared" si="11"/>
        <v>Review defect trend and containment</v>
      </c>
    </row>
    <row r="173" spans="1:19" x14ac:dyDescent="0.35">
      <c r="A173" t="s">
        <v>912</v>
      </c>
      <c r="B173" s="5">
        <v>46285</v>
      </c>
      <c r="C173" t="s">
        <v>20</v>
      </c>
      <c r="D173" t="s">
        <v>30</v>
      </c>
      <c r="E173" t="s">
        <v>34</v>
      </c>
      <c r="F173" t="s">
        <v>46</v>
      </c>
      <c r="G173" t="s">
        <v>739</v>
      </c>
      <c r="H173" t="s">
        <v>731</v>
      </c>
      <c r="I173" t="s">
        <v>747</v>
      </c>
      <c r="J173">
        <v>1</v>
      </c>
      <c r="K173">
        <v>4</v>
      </c>
      <c r="L173" t="s">
        <v>745</v>
      </c>
      <c r="M173" s="8">
        <v>201689</v>
      </c>
      <c r="N173">
        <v>6</v>
      </c>
      <c r="O173">
        <v>12</v>
      </c>
      <c r="P173">
        <f t="shared" si="8"/>
        <v>11</v>
      </c>
      <c r="Q173" t="str">
        <f t="shared" si="9"/>
        <v>Approaching Review</v>
      </c>
      <c r="R173" t="str">
        <f t="shared" si="10"/>
        <v>Yes</v>
      </c>
      <c r="S173" t="str">
        <f t="shared" si="11"/>
        <v>Review defect trend and containment</v>
      </c>
    </row>
    <row r="174" spans="1:19" x14ac:dyDescent="0.35">
      <c r="A174" t="s">
        <v>913</v>
      </c>
      <c r="B174" s="5">
        <v>46205</v>
      </c>
      <c r="C174" t="s">
        <v>20</v>
      </c>
      <c r="D174" t="s">
        <v>30</v>
      </c>
      <c r="E174" t="s">
        <v>40</v>
      </c>
      <c r="F174" t="s">
        <v>42</v>
      </c>
      <c r="G174" t="s">
        <v>739</v>
      </c>
      <c r="H174" t="s">
        <v>822</v>
      </c>
      <c r="I174" t="s">
        <v>735</v>
      </c>
      <c r="J174">
        <v>5</v>
      </c>
      <c r="K174">
        <v>3</v>
      </c>
      <c r="L174" t="s">
        <v>736</v>
      </c>
      <c r="M174" s="8">
        <v>939176</v>
      </c>
      <c r="N174">
        <v>61</v>
      </c>
      <c r="O174">
        <v>12</v>
      </c>
      <c r="P174">
        <f t="shared" si="8"/>
        <v>30</v>
      </c>
      <c r="Q174" t="str">
        <f t="shared" si="9"/>
        <v>Review Required</v>
      </c>
      <c r="R174" t="str">
        <f t="shared" si="10"/>
        <v>Yes</v>
      </c>
      <c r="S174" t="str">
        <f t="shared" si="11"/>
        <v>Validate calibration evidence</v>
      </c>
    </row>
    <row r="175" spans="1:19" x14ac:dyDescent="0.35">
      <c r="A175" t="s">
        <v>914</v>
      </c>
      <c r="B175" s="5">
        <v>46189</v>
      </c>
      <c r="C175" t="s">
        <v>24</v>
      </c>
      <c r="D175" t="s">
        <v>29</v>
      </c>
      <c r="E175" t="s">
        <v>38</v>
      </c>
      <c r="F175" t="s">
        <v>48</v>
      </c>
      <c r="G175" t="s">
        <v>739</v>
      </c>
      <c r="H175" t="s">
        <v>731</v>
      </c>
      <c r="I175" t="s">
        <v>747</v>
      </c>
      <c r="J175">
        <v>4</v>
      </c>
      <c r="K175">
        <v>5</v>
      </c>
      <c r="L175" t="s">
        <v>743</v>
      </c>
      <c r="M175" s="8">
        <v>826518</v>
      </c>
      <c r="N175">
        <v>70</v>
      </c>
      <c r="O175">
        <v>12</v>
      </c>
      <c r="P175">
        <f t="shared" si="8"/>
        <v>27</v>
      </c>
      <c r="Q175" t="str">
        <f t="shared" si="9"/>
        <v>Review Required</v>
      </c>
      <c r="R175" t="str">
        <f t="shared" si="10"/>
        <v>Yes</v>
      </c>
      <c r="S175" t="str">
        <f t="shared" si="11"/>
        <v>Review defect trend and containment</v>
      </c>
    </row>
    <row r="176" spans="1:19" x14ac:dyDescent="0.35">
      <c r="A176" t="s">
        <v>915</v>
      </c>
      <c r="B176" s="5">
        <v>46192</v>
      </c>
      <c r="C176" t="s">
        <v>25</v>
      </c>
      <c r="D176" t="s">
        <v>31</v>
      </c>
      <c r="E176" t="s">
        <v>37</v>
      </c>
      <c r="F176" t="s">
        <v>48</v>
      </c>
      <c r="G176" t="s">
        <v>739</v>
      </c>
      <c r="H176" t="s">
        <v>731</v>
      </c>
      <c r="I176" t="s">
        <v>747</v>
      </c>
      <c r="J176">
        <v>3</v>
      </c>
      <c r="K176">
        <v>3</v>
      </c>
      <c r="L176" t="s">
        <v>745</v>
      </c>
      <c r="M176" s="8">
        <v>1087933</v>
      </c>
      <c r="N176">
        <v>38</v>
      </c>
      <c r="O176">
        <v>12</v>
      </c>
      <c r="P176">
        <f t="shared" si="8"/>
        <v>16</v>
      </c>
      <c r="Q176" t="str">
        <f t="shared" si="9"/>
        <v>Review Required</v>
      </c>
      <c r="R176" t="str">
        <f t="shared" si="10"/>
        <v>Yes</v>
      </c>
      <c r="S176" t="str">
        <f t="shared" si="11"/>
        <v>Review defect trend and containment</v>
      </c>
    </row>
    <row r="177" spans="1:19" x14ac:dyDescent="0.35">
      <c r="A177" t="s">
        <v>916</v>
      </c>
      <c r="B177" s="5">
        <v>46275</v>
      </c>
      <c r="C177" t="s">
        <v>23</v>
      </c>
      <c r="D177" t="s">
        <v>32</v>
      </c>
      <c r="E177" t="s">
        <v>39</v>
      </c>
      <c r="F177" t="s">
        <v>45</v>
      </c>
      <c r="G177" t="s">
        <v>742</v>
      </c>
      <c r="H177" t="s">
        <v>96</v>
      </c>
      <c r="I177" t="s">
        <v>747</v>
      </c>
      <c r="J177">
        <v>4</v>
      </c>
      <c r="K177">
        <v>1</v>
      </c>
      <c r="L177" t="s">
        <v>736</v>
      </c>
      <c r="M177" s="8">
        <v>1314065</v>
      </c>
      <c r="N177">
        <v>71</v>
      </c>
      <c r="O177">
        <v>12</v>
      </c>
      <c r="P177">
        <f t="shared" si="8"/>
        <v>8</v>
      </c>
      <c r="Q177" t="str">
        <f t="shared" si="9"/>
        <v>Monitor</v>
      </c>
      <c r="R177" t="str">
        <f t="shared" si="10"/>
        <v>No</v>
      </c>
      <c r="S177" t="str">
        <f t="shared" si="11"/>
        <v>Continue monitoring</v>
      </c>
    </row>
    <row r="178" spans="1:19" x14ac:dyDescent="0.35">
      <c r="A178" t="s">
        <v>917</v>
      </c>
      <c r="B178" s="5">
        <v>46289</v>
      </c>
      <c r="C178" t="s">
        <v>20</v>
      </c>
      <c r="D178" t="s">
        <v>32</v>
      </c>
      <c r="E178" t="s">
        <v>38</v>
      </c>
      <c r="F178" t="s">
        <v>47</v>
      </c>
      <c r="G178" t="s">
        <v>730</v>
      </c>
      <c r="H178" t="s">
        <v>96</v>
      </c>
      <c r="I178" t="s">
        <v>747</v>
      </c>
      <c r="J178">
        <v>4</v>
      </c>
      <c r="K178">
        <v>2</v>
      </c>
      <c r="L178" t="s">
        <v>736</v>
      </c>
      <c r="M178" s="8">
        <v>2352789</v>
      </c>
      <c r="N178">
        <v>19</v>
      </c>
      <c r="O178">
        <v>12</v>
      </c>
      <c r="P178">
        <f t="shared" si="8"/>
        <v>12</v>
      </c>
      <c r="Q178" t="str">
        <f t="shared" si="9"/>
        <v>Review Required</v>
      </c>
      <c r="R178" t="str">
        <f t="shared" si="10"/>
        <v>Yes</v>
      </c>
      <c r="S178" t="str">
        <f t="shared" si="11"/>
        <v>Continue monitoring</v>
      </c>
    </row>
    <row r="179" spans="1:19" x14ac:dyDescent="0.35">
      <c r="A179" t="s">
        <v>918</v>
      </c>
      <c r="B179" s="5">
        <v>46233</v>
      </c>
      <c r="C179" t="s">
        <v>25</v>
      </c>
      <c r="D179" t="s">
        <v>32</v>
      </c>
      <c r="E179" t="s">
        <v>36</v>
      </c>
      <c r="F179" t="s">
        <v>44</v>
      </c>
      <c r="G179" t="s">
        <v>742</v>
      </c>
      <c r="H179" t="s">
        <v>731</v>
      </c>
      <c r="I179" t="s">
        <v>747</v>
      </c>
      <c r="J179">
        <v>1</v>
      </c>
      <c r="K179">
        <v>2</v>
      </c>
      <c r="L179" t="s">
        <v>736</v>
      </c>
      <c r="M179" s="8">
        <v>1639875</v>
      </c>
      <c r="N179">
        <v>45</v>
      </c>
      <c r="O179">
        <v>12</v>
      </c>
      <c r="P179">
        <f t="shared" si="8"/>
        <v>4</v>
      </c>
      <c r="Q179" t="str">
        <f t="shared" si="9"/>
        <v>Monitor</v>
      </c>
      <c r="R179" t="str">
        <f t="shared" si="10"/>
        <v>No</v>
      </c>
      <c r="S179" t="str">
        <f t="shared" si="11"/>
        <v>Continue monitoring</v>
      </c>
    </row>
    <row r="180" spans="1:19" x14ac:dyDescent="0.35">
      <c r="A180" t="s">
        <v>919</v>
      </c>
      <c r="B180" s="5">
        <v>46058</v>
      </c>
      <c r="C180" t="s">
        <v>20</v>
      </c>
      <c r="D180" t="s">
        <v>27</v>
      </c>
      <c r="E180" t="s">
        <v>38</v>
      </c>
      <c r="F180" t="s">
        <v>44</v>
      </c>
      <c r="G180" t="s">
        <v>739</v>
      </c>
      <c r="H180" t="s">
        <v>96</v>
      </c>
      <c r="I180" t="s">
        <v>735</v>
      </c>
      <c r="J180">
        <v>1</v>
      </c>
      <c r="K180">
        <v>1</v>
      </c>
      <c r="L180" t="s">
        <v>736</v>
      </c>
      <c r="M180" s="8">
        <v>1494958</v>
      </c>
      <c r="N180">
        <v>53</v>
      </c>
      <c r="O180">
        <v>12</v>
      </c>
      <c r="P180">
        <f t="shared" si="8"/>
        <v>13</v>
      </c>
      <c r="Q180" t="str">
        <f t="shared" si="9"/>
        <v>Review Required</v>
      </c>
      <c r="R180" t="str">
        <f t="shared" si="10"/>
        <v>Yes</v>
      </c>
      <c r="S180" t="str">
        <f t="shared" si="11"/>
        <v>Review defect trend and containment</v>
      </c>
    </row>
    <row r="181" spans="1:19" x14ac:dyDescent="0.35">
      <c r="A181" t="s">
        <v>920</v>
      </c>
      <c r="B181" s="5">
        <v>46237</v>
      </c>
      <c r="C181" t="s">
        <v>23</v>
      </c>
      <c r="D181" t="s">
        <v>30</v>
      </c>
      <c r="E181" t="s">
        <v>40</v>
      </c>
      <c r="F181" t="s">
        <v>45</v>
      </c>
      <c r="G181" t="s">
        <v>742</v>
      </c>
      <c r="H181" t="s">
        <v>731</v>
      </c>
      <c r="I181" t="s">
        <v>732</v>
      </c>
      <c r="J181">
        <v>1</v>
      </c>
      <c r="K181">
        <v>2</v>
      </c>
      <c r="L181" t="s">
        <v>745</v>
      </c>
      <c r="M181" s="8">
        <v>2395023</v>
      </c>
      <c r="N181">
        <v>37</v>
      </c>
      <c r="O181">
        <v>12</v>
      </c>
      <c r="P181">
        <f t="shared" si="8"/>
        <v>2</v>
      </c>
      <c r="Q181" t="str">
        <f t="shared" si="9"/>
        <v>Monitor</v>
      </c>
      <c r="R181" t="str">
        <f t="shared" si="10"/>
        <v>Yes</v>
      </c>
      <c r="S181" t="str">
        <f t="shared" si="11"/>
        <v>Continue monitoring</v>
      </c>
    </row>
    <row r="182" spans="1:19" x14ac:dyDescent="0.35">
      <c r="A182" t="s">
        <v>921</v>
      </c>
      <c r="B182" s="5">
        <v>46214</v>
      </c>
      <c r="C182" t="s">
        <v>24</v>
      </c>
      <c r="D182" t="s">
        <v>32</v>
      </c>
      <c r="E182" t="s">
        <v>39</v>
      </c>
      <c r="F182" t="s">
        <v>42</v>
      </c>
      <c r="G182" t="s">
        <v>742</v>
      </c>
      <c r="H182" t="s">
        <v>731</v>
      </c>
      <c r="I182" t="s">
        <v>732</v>
      </c>
      <c r="J182">
        <v>2</v>
      </c>
      <c r="K182">
        <v>4</v>
      </c>
      <c r="L182" t="s">
        <v>736</v>
      </c>
      <c r="M182" s="8">
        <v>189327</v>
      </c>
      <c r="N182">
        <v>65</v>
      </c>
      <c r="O182">
        <v>12</v>
      </c>
      <c r="P182">
        <f t="shared" si="8"/>
        <v>8</v>
      </c>
      <c r="Q182" t="str">
        <f t="shared" si="9"/>
        <v>Monitor</v>
      </c>
      <c r="R182" t="str">
        <f t="shared" si="10"/>
        <v>No</v>
      </c>
      <c r="S182" t="str">
        <f t="shared" si="11"/>
        <v>Continue monitoring</v>
      </c>
    </row>
    <row r="183" spans="1:19" x14ac:dyDescent="0.35">
      <c r="A183" t="s">
        <v>922</v>
      </c>
      <c r="B183" s="5">
        <v>46135</v>
      </c>
      <c r="C183" t="s">
        <v>20</v>
      </c>
      <c r="D183" t="s">
        <v>32</v>
      </c>
      <c r="E183" t="s">
        <v>37</v>
      </c>
      <c r="F183" t="s">
        <v>44</v>
      </c>
      <c r="G183" t="s">
        <v>742</v>
      </c>
      <c r="H183" t="s">
        <v>731</v>
      </c>
      <c r="I183" t="s">
        <v>732</v>
      </c>
      <c r="J183">
        <v>2</v>
      </c>
      <c r="K183">
        <v>4</v>
      </c>
      <c r="L183" t="s">
        <v>745</v>
      </c>
      <c r="M183" s="8">
        <v>1497442</v>
      </c>
      <c r="N183">
        <v>65</v>
      </c>
      <c r="O183">
        <v>12</v>
      </c>
      <c r="P183">
        <f t="shared" si="8"/>
        <v>8</v>
      </c>
      <c r="Q183" t="str">
        <f t="shared" si="9"/>
        <v>Monitor</v>
      </c>
      <c r="R183" t="str">
        <f t="shared" si="10"/>
        <v>Yes</v>
      </c>
      <c r="S183" t="str">
        <f t="shared" si="11"/>
        <v>Continue monitoring</v>
      </c>
    </row>
    <row r="184" spans="1:19" x14ac:dyDescent="0.35">
      <c r="A184" t="s">
        <v>923</v>
      </c>
      <c r="B184" s="5">
        <v>46053</v>
      </c>
      <c r="C184" t="s">
        <v>24</v>
      </c>
      <c r="D184" t="s">
        <v>30</v>
      </c>
      <c r="E184" t="s">
        <v>39</v>
      </c>
      <c r="F184" t="s">
        <v>42</v>
      </c>
      <c r="G184" t="s">
        <v>742</v>
      </c>
      <c r="H184" t="s">
        <v>731</v>
      </c>
      <c r="I184" t="s">
        <v>732</v>
      </c>
      <c r="J184">
        <v>4</v>
      </c>
      <c r="K184">
        <v>2</v>
      </c>
      <c r="L184" t="s">
        <v>736</v>
      </c>
      <c r="M184" s="8">
        <v>413270</v>
      </c>
      <c r="N184">
        <v>17</v>
      </c>
      <c r="O184">
        <v>12</v>
      </c>
      <c r="P184">
        <f t="shared" si="8"/>
        <v>8</v>
      </c>
      <c r="Q184" t="str">
        <f t="shared" si="9"/>
        <v>Monitor</v>
      </c>
      <c r="R184" t="str">
        <f t="shared" si="10"/>
        <v>No</v>
      </c>
      <c r="S184" t="str">
        <f t="shared" si="11"/>
        <v>Continue monitoring</v>
      </c>
    </row>
    <row r="185" spans="1:19" x14ac:dyDescent="0.35">
      <c r="A185" t="s">
        <v>924</v>
      </c>
      <c r="B185" s="5">
        <v>46036</v>
      </c>
      <c r="C185" t="s">
        <v>24</v>
      </c>
      <c r="D185" t="s">
        <v>27</v>
      </c>
      <c r="E185" t="s">
        <v>38</v>
      </c>
      <c r="F185" t="s">
        <v>44</v>
      </c>
      <c r="G185" t="s">
        <v>730</v>
      </c>
      <c r="H185" t="s">
        <v>96</v>
      </c>
      <c r="I185" t="s">
        <v>735</v>
      </c>
      <c r="J185">
        <v>3</v>
      </c>
      <c r="K185">
        <v>2</v>
      </c>
      <c r="L185" t="s">
        <v>736</v>
      </c>
      <c r="M185" s="8">
        <v>2017987</v>
      </c>
      <c r="N185">
        <v>52</v>
      </c>
      <c r="O185">
        <v>12</v>
      </c>
      <c r="P185">
        <f t="shared" si="8"/>
        <v>13</v>
      </c>
      <c r="Q185" t="str">
        <f t="shared" si="9"/>
        <v>Review Required</v>
      </c>
      <c r="R185" t="str">
        <f t="shared" si="10"/>
        <v>Yes</v>
      </c>
      <c r="S185" t="str">
        <f t="shared" si="11"/>
        <v>Escalate supplier readiness</v>
      </c>
    </row>
    <row r="186" spans="1:19" x14ac:dyDescent="0.35">
      <c r="A186" t="s">
        <v>925</v>
      </c>
      <c r="B186" s="5">
        <v>46227</v>
      </c>
      <c r="C186" t="s">
        <v>22</v>
      </c>
      <c r="D186" t="s">
        <v>32</v>
      </c>
      <c r="E186" t="s">
        <v>38</v>
      </c>
      <c r="F186" t="s">
        <v>44</v>
      </c>
      <c r="G186" t="s">
        <v>739</v>
      </c>
      <c r="H186" t="s">
        <v>731</v>
      </c>
      <c r="I186" t="s">
        <v>732</v>
      </c>
      <c r="J186">
        <v>2</v>
      </c>
      <c r="K186">
        <v>3</v>
      </c>
      <c r="L186" t="s">
        <v>743</v>
      </c>
      <c r="M186" s="8">
        <v>854838</v>
      </c>
      <c r="N186">
        <v>19</v>
      </c>
      <c r="O186">
        <v>12</v>
      </c>
      <c r="P186">
        <f t="shared" si="8"/>
        <v>11</v>
      </c>
      <c r="Q186" t="str">
        <f t="shared" si="9"/>
        <v>Approaching Review</v>
      </c>
      <c r="R186" t="str">
        <f t="shared" si="10"/>
        <v>No</v>
      </c>
      <c r="S186" t="str">
        <f t="shared" si="11"/>
        <v>Review defect trend and containment</v>
      </c>
    </row>
    <row r="187" spans="1:19" x14ac:dyDescent="0.35">
      <c r="A187" t="s">
        <v>926</v>
      </c>
      <c r="B187" s="5">
        <v>46281</v>
      </c>
      <c r="C187" t="s">
        <v>24</v>
      </c>
      <c r="D187" t="s">
        <v>32</v>
      </c>
      <c r="E187" t="s">
        <v>36</v>
      </c>
      <c r="F187" t="s">
        <v>47</v>
      </c>
      <c r="G187" t="s">
        <v>742</v>
      </c>
      <c r="H187" t="s">
        <v>96</v>
      </c>
      <c r="I187" t="s">
        <v>735</v>
      </c>
      <c r="J187">
        <v>1</v>
      </c>
      <c r="K187">
        <v>1</v>
      </c>
      <c r="L187" t="s">
        <v>733</v>
      </c>
      <c r="M187" s="8">
        <v>2218920</v>
      </c>
      <c r="N187">
        <v>24</v>
      </c>
      <c r="O187">
        <v>12</v>
      </c>
      <c r="P187">
        <f t="shared" si="8"/>
        <v>8</v>
      </c>
      <c r="Q187" t="str">
        <f t="shared" si="9"/>
        <v>Monitor</v>
      </c>
      <c r="R187" t="str">
        <f t="shared" si="10"/>
        <v>No</v>
      </c>
      <c r="S187" t="str">
        <f t="shared" si="11"/>
        <v>Escalate supplier readiness</v>
      </c>
    </row>
    <row r="188" spans="1:19" x14ac:dyDescent="0.35">
      <c r="A188" t="s">
        <v>927</v>
      </c>
      <c r="B188" s="5">
        <v>46122</v>
      </c>
      <c r="C188" t="s">
        <v>20</v>
      </c>
      <c r="D188" t="s">
        <v>27</v>
      </c>
      <c r="E188" t="s">
        <v>37</v>
      </c>
      <c r="F188" t="s">
        <v>42</v>
      </c>
      <c r="G188" t="s">
        <v>730</v>
      </c>
      <c r="H188" t="s">
        <v>731</v>
      </c>
      <c r="I188" t="s">
        <v>732</v>
      </c>
      <c r="J188">
        <v>5</v>
      </c>
      <c r="K188">
        <v>2</v>
      </c>
      <c r="L188" t="s">
        <v>736</v>
      </c>
      <c r="M188" s="8">
        <v>1820582</v>
      </c>
      <c r="N188">
        <v>36</v>
      </c>
      <c r="O188">
        <v>12</v>
      </c>
      <c r="P188">
        <f t="shared" si="8"/>
        <v>10</v>
      </c>
      <c r="Q188" t="str">
        <f t="shared" si="9"/>
        <v>Approaching Review</v>
      </c>
      <c r="R188" t="str">
        <f t="shared" si="10"/>
        <v>No</v>
      </c>
      <c r="S188" t="str">
        <f t="shared" si="11"/>
        <v>Continue monitoring</v>
      </c>
    </row>
    <row r="189" spans="1:19" x14ac:dyDescent="0.35">
      <c r="A189" t="s">
        <v>928</v>
      </c>
      <c r="B189" s="5">
        <v>46232</v>
      </c>
      <c r="C189" t="s">
        <v>24</v>
      </c>
      <c r="D189" t="s">
        <v>27</v>
      </c>
      <c r="E189" t="s">
        <v>36</v>
      </c>
      <c r="F189" t="s">
        <v>45</v>
      </c>
      <c r="G189" t="s">
        <v>739</v>
      </c>
      <c r="H189" t="s">
        <v>731</v>
      </c>
      <c r="I189" t="s">
        <v>735</v>
      </c>
      <c r="J189">
        <v>4</v>
      </c>
      <c r="K189">
        <v>5</v>
      </c>
      <c r="L189" t="s">
        <v>745</v>
      </c>
      <c r="M189" s="8">
        <v>1980033</v>
      </c>
      <c r="N189">
        <v>23</v>
      </c>
      <c r="O189">
        <v>12</v>
      </c>
      <c r="P189">
        <f t="shared" si="8"/>
        <v>30</v>
      </c>
      <c r="Q189" t="str">
        <f t="shared" si="9"/>
        <v>Review Required</v>
      </c>
      <c r="R189" t="str">
        <f t="shared" si="10"/>
        <v>Yes</v>
      </c>
      <c r="S189" t="str">
        <f t="shared" si="11"/>
        <v>Review defect trend and containment</v>
      </c>
    </row>
    <row r="190" spans="1:19" x14ac:dyDescent="0.35">
      <c r="A190" t="s">
        <v>929</v>
      </c>
      <c r="B190" s="5">
        <v>46029</v>
      </c>
      <c r="C190" t="s">
        <v>22</v>
      </c>
      <c r="D190" t="s">
        <v>32</v>
      </c>
      <c r="E190" t="s">
        <v>36</v>
      </c>
      <c r="F190" t="s">
        <v>45</v>
      </c>
      <c r="G190" t="s">
        <v>742</v>
      </c>
      <c r="H190" t="s">
        <v>731</v>
      </c>
      <c r="I190" t="s">
        <v>747</v>
      </c>
      <c r="J190">
        <v>3</v>
      </c>
      <c r="K190">
        <v>5</v>
      </c>
      <c r="L190" t="s">
        <v>733</v>
      </c>
      <c r="M190" s="8">
        <v>2033084</v>
      </c>
      <c r="N190">
        <v>14</v>
      </c>
      <c r="O190">
        <v>12</v>
      </c>
      <c r="P190">
        <f t="shared" si="8"/>
        <v>17</v>
      </c>
      <c r="Q190" t="str">
        <f t="shared" si="9"/>
        <v>Review Required</v>
      </c>
      <c r="R190" t="str">
        <f t="shared" si="10"/>
        <v>Yes</v>
      </c>
      <c r="S190" t="str">
        <f t="shared" si="11"/>
        <v>Continue monitoring</v>
      </c>
    </row>
    <row r="191" spans="1:19" x14ac:dyDescent="0.35">
      <c r="A191" t="s">
        <v>930</v>
      </c>
      <c r="B191" s="5">
        <v>46152</v>
      </c>
      <c r="C191" t="s">
        <v>22</v>
      </c>
      <c r="D191" t="s">
        <v>32</v>
      </c>
      <c r="E191" t="s">
        <v>40</v>
      </c>
      <c r="F191" t="s">
        <v>45</v>
      </c>
      <c r="G191" t="s">
        <v>742</v>
      </c>
      <c r="H191" t="s">
        <v>731</v>
      </c>
      <c r="I191" t="s">
        <v>732</v>
      </c>
      <c r="J191">
        <v>4</v>
      </c>
      <c r="K191">
        <v>4</v>
      </c>
      <c r="L191" t="s">
        <v>743</v>
      </c>
      <c r="M191" s="8">
        <v>230349</v>
      </c>
      <c r="N191">
        <v>28</v>
      </c>
      <c r="O191">
        <v>12</v>
      </c>
      <c r="P191">
        <f t="shared" si="8"/>
        <v>16</v>
      </c>
      <c r="Q191" t="str">
        <f t="shared" si="9"/>
        <v>Review Required</v>
      </c>
      <c r="R191" t="str">
        <f t="shared" si="10"/>
        <v>Yes</v>
      </c>
      <c r="S191" t="str">
        <f t="shared" si="11"/>
        <v>Continue monitoring</v>
      </c>
    </row>
    <row r="192" spans="1:19" x14ac:dyDescent="0.35">
      <c r="A192" t="s">
        <v>931</v>
      </c>
      <c r="B192" s="5">
        <v>46277</v>
      </c>
      <c r="C192" t="s">
        <v>22</v>
      </c>
      <c r="D192" t="s">
        <v>30</v>
      </c>
      <c r="E192" t="s">
        <v>39</v>
      </c>
      <c r="F192" t="s">
        <v>42</v>
      </c>
      <c r="G192" t="s">
        <v>730</v>
      </c>
      <c r="H192" t="s">
        <v>822</v>
      </c>
      <c r="I192" t="s">
        <v>747</v>
      </c>
      <c r="J192">
        <v>3</v>
      </c>
      <c r="K192">
        <v>3</v>
      </c>
      <c r="L192" t="s">
        <v>745</v>
      </c>
      <c r="M192" s="8">
        <v>439922</v>
      </c>
      <c r="N192">
        <v>15</v>
      </c>
      <c r="O192">
        <v>12</v>
      </c>
      <c r="P192">
        <f t="shared" si="8"/>
        <v>16</v>
      </c>
      <c r="Q192" t="str">
        <f t="shared" si="9"/>
        <v>Review Required</v>
      </c>
      <c r="R192" t="str">
        <f t="shared" si="10"/>
        <v>Yes</v>
      </c>
      <c r="S192" t="str">
        <f t="shared" si="11"/>
        <v>Validate calibration evidence</v>
      </c>
    </row>
    <row r="193" spans="1:19" x14ac:dyDescent="0.35">
      <c r="A193" t="s">
        <v>932</v>
      </c>
      <c r="B193" s="5">
        <v>46061</v>
      </c>
      <c r="C193" t="s">
        <v>25</v>
      </c>
      <c r="D193" t="s">
        <v>29</v>
      </c>
      <c r="E193" t="s">
        <v>38</v>
      </c>
      <c r="F193" t="s">
        <v>44</v>
      </c>
      <c r="G193" t="s">
        <v>739</v>
      </c>
      <c r="H193" t="s">
        <v>731</v>
      </c>
      <c r="I193" t="s">
        <v>732</v>
      </c>
      <c r="J193">
        <v>2</v>
      </c>
      <c r="K193">
        <v>1</v>
      </c>
      <c r="L193" t="s">
        <v>733</v>
      </c>
      <c r="M193" s="8">
        <v>52874</v>
      </c>
      <c r="N193">
        <v>74</v>
      </c>
      <c r="O193">
        <v>12</v>
      </c>
      <c r="P193">
        <f t="shared" si="8"/>
        <v>7</v>
      </c>
      <c r="Q193" t="str">
        <f t="shared" si="9"/>
        <v>Monitor</v>
      </c>
      <c r="R193" t="str">
        <f t="shared" si="10"/>
        <v>No</v>
      </c>
      <c r="S193" t="str">
        <f t="shared" si="11"/>
        <v>Review defect trend and containment</v>
      </c>
    </row>
    <row r="194" spans="1:19" x14ac:dyDescent="0.35">
      <c r="A194" t="s">
        <v>933</v>
      </c>
      <c r="B194" s="5">
        <v>46135</v>
      </c>
      <c r="C194" t="s">
        <v>25</v>
      </c>
      <c r="D194" t="s">
        <v>32</v>
      </c>
      <c r="E194" t="s">
        <v>34</v>
      </c>
      <c r="F194" t="s">
        <v>46</v>
      </c>
      <c r="G194" t="s">
        <v>739</v>
      </c>
      <c r="H194" t="s">
        <v>731</v>
      </c>
      <c r="I194" t="s">
        <v>732</v>
      </c>
      <c r="J194">
        <v>3</v>
      </c>
      <c r="K194">
        <v>4</v>
      </c>
      <c r="L194" t="s">
        <v>743</v>
      </c>
      <c r="M194" s="8">
        <v>2476076</v>
      </c>
      <c r="N194">
        <v>28</v>
      </c>
      <c r="O194">
        <v>12</v>
      </c>
      <c r="P194">
        <f t="shared" ref="P194:P241" si="12">J194*K194+IF(G194="Worsening",5,0)+IF(H194="Missing",5,IF(H194="Pending",2,0))+IF(I194="At Risk",5,IF(I194="Conditional",2,0))</f>
        <v>17</v>
      </c>
      <c r="Q194" t="str">
        <f t="shared" ref="Q194:Q257" si="13">IF(P194&gt;=O194,"Review Required",IF(P194&gt;=O194*0.75,"Approaching Review","Monitor"))</f>
        <v>Review Required</v>
      </c>
      <c r="R194" t="str">
        <f t="shared" ref="R194:R257" si="14">IF(OR(L194="Critical",Q194="Review Required",H194="Missing"),"Yes","No")</f>
        <v>Yes</v>
      </c>
      <c r="S194" t="str">
        <f t="shared" ref="S194:S241" si="15">IF(H194="Missing","Validate calibration evidence",IF(G194="Worsening","Review defect trend and containment",IF(I194="At Risk","Escalate supplier readiness","Continue monitoring")))</f>
        <v>Review defect trend and containment</v>
      </c>
    </row>
    <row r="195" spans="1:19" x14ac:dyDescent="0.35">
      <c r="A195" t="s">
        <v>934</v>
      </c>
      <c r="B195" s="5">
        <v>46154</v>
      </c>
      <c r="C195" t="s">
        <v>22</v>
      </c>
      <c r="D195" t="s">
        <v>30</v>
      </c>
      <c r="E195" t="s">
        <v>36</v>
      </c>
      <c r="F195" t="s">
        <v>47</v>
      </c>
      <c r="G195" t="s">
        <v>730</v>
      </c>
      <c r="H195" t="s">
        <v>96</v>
      </c>
      <c r="I195" t="s">
        <v>732</v>
      </c>
      <c r="J195">
        <v>3</v>
      </c>
      <c r="K195">
        <v>1</v>
      </c>
      <c r="L195" t="s">
        <v>736</v>
      </c>
      <c r="M195" s="8">
        <v>2492107</v>
      </c>
      <c r="N195">
        <v>13</v>
      </c>
      <c r="O195">
        <v>12</v>
      </c>
      <c r="P195">
        <f t="shared" si="12"/>
        <v>5</v>
      </c>
      <c r="Q195" t="str">
        <f t="shared" si="13"/>
        <v>Monitor</v>
      </c>
      <c r="R195" t="str">
        <f t="shared" si="14"/>
        <v>No</v>
      </c>
      <c r="S195" t="str">
        <f t="shared" si="15"/>
        <v>Continue monitoring</v>
      </c>
    </row>
    <row r="196" spans="1:19" x14ac:dyDescent="0.35">
      <c r="A196" t="s">
        <v>935</v>
      </c>
      <c r="B196" s="5">
        <v>46242</v>
      </c>
      <c r="C196" t="s">
        <v>23</v>
      </c>
      <c r="D196" t="s">
        <v>30</v>
      </c>
      <c r="E196" t="s">
        <v>34</v>
      </c>
      <c r="F196" t="s">
        <v>44</v>
      </c>
      <c r="G196" t="s">
        <v>739</v>
      </c>
      <c r="H196" t="s">
        <v>731</v>
      </c>
      <c r="I196" t="s">
        <v>732</v>
      </c>
      <c r="J196">
        <v>3</v>
      </c>
      <c r="K196">
        <v>3</v>
      </c>
      <c r="L196" t="s">
        <v>743</v>
      </c>
      <c r="M196" s="8">
        <v>822210</v>
      </c>
      <c r="N196">
        <v>55</v>
      </c>
      <c r="O196">
        <v>12</v>
      </c>
      <c r="P196">
        <f t="shared" si="12"/>
        <v>14</v>
      </c>
      <c r="Q196" t="str">
        <f t="shared" si="13"/>
        <v>Review Required</v>
      </c>
      <c r="R196" t="str">
        <f t="shared" si="14"/>
        <v>Yes</v>
      </c>
      <c r="S196" t="str">
        <f t="shared" si="15"/>
        <v>Review defect trend and containment</v>
      </c>
    </row>
    <row r="197" spans="1:19" x14ac:dyDescent="0.35">
      <c r="A197" t="s">
        <v>936</v>
      </c>
      <c r="B197" s="5">
        <v>46140</v>
      </c>
      <c r="C197" t="s">
        <v>20</v>
      </c>
      <c r="D197" t="s">
        <v>30</v>
      </c>
      <c r="E197" t="s">
        <v>38</v>
      </c>
      <c r="F197" t="s">
        <v>48</v>
      </c>
      <c r="G197" t="s">
        <v>739</v>
      </c>
      <c r="H197" t="s">
        <v>731</v>
      </c>
      <c r="I197" t="s">
        <v>732</v>
      </c>
      <c r="J197">
        <v>3</v>
      </c>
      <c r="K197">
        <v>3</v>
      </c>
      <c r="L197" t="s">
        <v>733</v>
      </c>
      <c r="M197" s="8">
        <v>1723548</v>
      </c>
      <c r="N197">
        <v>28</v>
      </c>
      <c r="O197">
        <v>12</v>
      </c>
      <c r="P197">
        <f t="shared" si="12"/>
        <v>14</v>
      </c>
      <c r="Q197" t="str">
        <f t="shared" si="13"/>
        <v>Review Required</v>
      </c>
      <c r="R197" t="str">
        <f t="shared" si="14"/>
        <v>Yes</v>
      </c>
      <c r="S197" t="str">
        <f t="shared" si="15"/>
        <v>Review defect trend and containment</v>
      </c>
    </row>
    <row r="198" spans="1:19" x14ac:dyDescent="0.35">
      <c r="A198" t="s">
        <v>937</v>
      </c>
      <c r="B198" s="5">
        <v>46040</v>
      </c>
      <c r="C198" t="s">
        <v>24</v>
      </c>
      <c r="D198" t="s">
        <v>30</v>
      </c>
      <c r="E198" t="s">
        <v>38</v>
      </c>
      <c r="F198" t="s">
        <v>42</v>
      </c>
      <c r="G198" t="s">
        <v>742</v>
      </c>
      <c r="H198" t="s">
        <v>731</v>
      </c>
      <c r="I198" t="s">
        <v>735</v>
      </c>
      <c r="J198">
        <v>1</v>
      </c>
      <c r="K198">
        <v>3</v>
      </c>
      <c r="L198" t="s">
        <v>733</v>
      </c>
      <c r="M198" s="8">
        <v>1359128</v>
      </c>
      <c r="N198">
        <v>68</v>
      </c>
      <c r="O198">
        <v>12</v>
      </c>
      <c r="P198">
        <f t="shared" si="12"/>
        <v>8</v>
      </c>
      <c r="Q198" t="str">
        <f t="shared" si="13"/>
        <v>Monitor</v>
      </c>
      <c r="R198" t="str">
        <f t="shared" si="14"/>
        <v>No</v>
      </c>
      <c r="S198" t="str">
        <f t="shared" si="15"/>
        <v>Escalate supplier readiness</v>
      </c>
    </row>
    <row r="199" spans="1:19" x14ac:dyDescent="0.35">
      <c r="A199" t="s">
        <v>938</v>
      </c>
      <c r="B199" s="5">
        <v>46050</v>
      </c>
      <c r="C199" t="s">
        <v>20</v>
      </c>
      <c r="D199" t="s">
        <v>32</v>
      </c>
      <c r="E199" t="s">
        <v>36</v>
      </c>
      <c r="F199" t="s">
        <v>44</v>
      </c>
      <c r="G199" t="s">
        <v>730</v>
      </c>
      <c r="H199" t="s">
        <v>731</v>
      </c>
      <c r="I199" t="s">
        <v>732</v>
      </c>
      <c r="J199">
        <v>5</v>
      </c>
      <c r="K199">
        <v>4</v>
      </c>
      <c r="L199" t="s">
        <v>745</v>
      </c>
      <c r="M199" s="8">
        <v>807436</v>
      </c>
      <c r="N199">
        <v>9</v>
      </c>
      <c r="O199">
        <v>12</v>
      </c>
      <c r="P199">
        <f t="shared" si="12"/>
        <v>20</v>
      </c>
      <c r="Q199" t="str">
        <f t="shared" si="13"/>
        <v>Review Required</v>
      </c>
      <c r="R199" t="str">
        <f t="shared" si="14"/>
        <v>Yes</v>
      </c>
      <c r="S199" t="str">
        <f t="shared" si="15"/>
        <v>Continue monitoring</v>
      </c>
    </row>
    <row r="200" spans="1:19" x14ac:dyDescent="0.35">
      <c r="A200" t="s">
        <v>939</v>
      </c>
      <c r="B200" s="5">
        <v>46086</v>
      </c>
      <c r="C200" t="s">
        <v>20</v>
      </c>
      <c r="D200" t="s">
        <v>30</v>
      </c>
      <c r="E200" t="s">
        <v>37</v>
      </c>
      <c r="F200" t="s">
        <v>48</v>
      </c>
      <c r="G200" t="s">
        <v>742</v>
      </c>
      <c r="H200" t="s">
        <v>731</v>
      </c>
      <c r="I200" t="s">
        <v>747</v>
      </c>
      <c r="J200">
        <v>1</v>
      </c>
      <c r="K200">
        <v>4</v>
      </c>
      <c r="L200" t="s">
        <v>736</v>
      </c>
      <c r="M200" s="8">
        <v>1507287</v>
      </c>
      <c r="N200">
        <v>71</v>
      </c>
      <c r="O200">
        <v>12</v>
      </c>
      <c r="P200">
        <f t="shared" si="12"/>
        <v>6</v>
      </c>
      <c r="Q200" t="str">
        <f t="shared" si="13"/>
        <v>Monitor</v>
      </c>
      <c r="R200" t="str">
        <f t="shared" si="14"/>
        <v>No</v>
      </c>
      <c r="S200" t="str">
        <f t="shared" si="15"/>
        <v>Continue monitoring</v>
      </c>
    </row>
    <row r="201" spans="1:19" x14ac:dyDescent="0.35">
      <c r="A201" t="s">
        <v>940</v>
      </c>
      <c r="B201" s="5">
        <v>46187</v>
      </c>
      <c r="C201" t="s">
        <v>20</v>
      </c>
      <c r="D201" t="s">
        <v>29</v>
      </c>
      <c r="E201" t="s">
        <v>36</v>
      </c>
      <c r="F201" t="s">
        <v>42</v>
      </c>
      <c r="G201" t="s">
        <v>730</v>
      </c>
      <c r="H201" t="s">
        <v>731</v>
      </c>
      <c r="I201" t="s">
        <v>732</v>
      </c>
      <c r="J201">
        <v>1</v>
      </c>
      <c r="K201">
        <v>5</v>
      </c>
      <c r="L201" t="s">
        <v>743</v>
      </c>
      <c r="M201" s="8">
        <v>939612</v>
      </c>
      <c r="N201">
        <v>9</v>
      </c>
      <c r="O201">
        <v>12</v>
      </c>
      <c r="P201">
        <f t="shared" si="12"/>
        <v>5</v>
      </c>
      <c r="Q201" t="str">
        <f t="shared" si="13"/>
        <v>Monitor</v>
      </c>
      <c r="R201" t="str">
        <f t="shared" si="14"/>
        <v>No</v>
      </c>
      <c r="S201" t="str">
        <f t="shared" si="15"/>
        <v>Continue monitoring</v>
      </c>
    </row>
    <row r="202" spans="1:19" x14ac:dyDescent="0.35">
      <c r="A202" t="s">
        <v>941</v>
      </c>
      <c r="B202" s="5">
        <v>46289</v>
      </c>
      <c r="C202" t="s">
        <v>22</v>
      </c>
      <c r="D202" t="s">
        <v>32</v>
      </c>
      <c r="E202" t="s">
        <v>39</v>
      </c>
      <c r="F202" t="s">
        <v>42</v>
      </c>
      <c r="G202" t="s">
        <v>739</v>
      </c>
      <c r="H202" t="s">
        <v>731</v>
      </c>
      <c r="I202" t="s">
        <v>735</v>
      </c>
      <c r="J202">
        <v>5</v>
      </c>
      <c r="K202">
        <v>4</v>
      </c>
      <c r="L202" t="s">
        <v>733</v>
      </c>
      <c r="M202" s="8">
        <v>1017617</v>
      </c>
      <c r="N202">
        <v>20</v>
      </c>
      <c r="O202">
        <v>12</v>
      </c>
      <c r="P202">
        <f t="shared" si="12"/>
        <v>30</v>
      </c>
      <c r="Q202" t="str">
        <f t="shared" si="13"/>
        <v>Review Required</v>
      </c>
      <c r="R202" t="str">
        <f t="shared" si="14"/>
        <v>Yes</v>
      </c>
      <c r="S202" t="str">
        <f t="shared" si="15"/>
        <v>Review defect trend and containment</v>
      </c>
    </row>
    <row r="203" spans="1:19" x14ac:dyDescent="0.35">
      <c r="A203" t="s">
        <v>942</v>
      </c>
      <c r="B203" s="5">
        <v>46242</v>
      </c>
      <c r="C203" t="s">
        <v>25</v>
      </c>
      <c r="D203" t="s">
        <v>30</v>
      </c>
      <c r="E203" t="s">
        <v>39</v>
      </c>
      <c r="F203" t="s">
        <v>45</v>
      </c>
      <c r="G203" t="s">
        <v>742</v>
      </c>
      <c r="H203" t="s">
        <v>731</v>
      </c>
      <c r="I203" t="s">
        <v>747</v>
      </c>
      <c r="J203">
        <v>5</v>
      </c>
      <c r="K203">
        <v>5</v>
      </c>
      <c r="L203" t="s">
        <v>745</v>
      </c>
      <c r="M203" s="8">
        <v>1281299</v>
      </c>
      <c r="N203">
        <v>21</v>
      </c>
      <c r="O203">
        <v>12</v>
      </c>
      <c r="P203">
        <f t="shared" si="12"/>
        <v>27</v>
      </c>
      <c r="Q203" t="str">
        <f t="shared" si="13"/>
        <v>Review Required</v>
      </c>
      <c r="R203" t="str">
        <f t="shared" si="14"/>
        <v>Yes</v>
      </c>
      <c r="S203" t="str">
        <f t="shared" si="15"/>
        <v>Continue monitoring</v>
      </c>
    </row>
    <row r="204" spans="1:19" x14ac:dyDescent="0.35">
      <c r="A204" t="s">
        <v>943</v>
      </c>
      <c r="B204" s="5">
        <v>46107</v>
      </c>
      <c r="C204" t="s">
        <v>25</v>
      </c>
      <c r="D204" t="s">
        <v>32</v>
      </c>
      <c r="E204" t="s">
        <v>37</v>
      </c>
      <c r="F204" t="s">
        <v>44</v>
      </c>
      <c r="G204" t="s">
        <v>739</v>
      </c>
      <c r="H204" t="s">
        <v>96</v>
      </c>
      <c r="I204" t="s">
        <v>732</v>
      </c>
      <c r="J204">
        <v>2</v>
      </c>
      <c r="K204">
        <v>5</v>
      </c>
      <c r="L204" t="s">
        <v>745</v>
      </c>
      <c r="M204" s="8">
        <v>2221693</v>
      </c>
      <c r="N204">
        <v>74</v>
      </c>
      <c r="O204">
        <v>12</v>
      </c>
      <c r="P204">
        <f t="shared" si="12"/>
        <v>17</v>
      </c>
      <c r="Q204" t="str">
        <f t="shared" si="13"/>
        <v>Review Required</v>
      </c>
      <c r="R204" t="str">
        <f t="shared" si="14"/>
        <v>Yes</v>
      </c>
      <c r="S204" t="str">
        <f t="shared" si="15"/>
        <v>Review defect trend and containment</v>
      </c>
    </row>
    <row r="205" spans="1:19" x14ac:dyDescent="0.35">
      <c r="A205" t="s">
        <v>944</v>
      </c>
      <c r="B205" s="5">
        <v>46273</v>
      </c>
      <c r="C205" t="s">
        <v>22</v>
      </c>
      <c r="D205" t="s">
        <v>29</v>
      </c>
      <c r="E205" t="s">
        <v>38</v>
      </c>
      <c r="F205" t="s">
        <v>45</v>
      </c>
      <c r="G205" t="s">
        <v>742</v>
      </c>
      <c r="H205" t="s">
        <v>96</v>
      </c>
      <c r="I205" t="s">
        <v>747</v>
      </c>
      <c r="J205">
        <v>1</v>
      </c>
      <c r="K205">
        <v>4</v>
      </c>
      <c r="L205" t="s">
        <v>733</v>
      </c>
      <c r="M205" s="8">
        <v>1626329</v>
      </c>
      <c r="N205">
        <v>30</v>
      </c>
      <c r="O205">
        <v>12</v>
      </c>
      <c r="P205">
        <f t="shared" si="12"/>
        <v>8</v>
      </c>
      <c r="Q205" t="str">
        <f t="shared" si="13"/>
        <v>Monitor</v>
      </c>
      <c r="R205" t="str">
        <f t="shared" si="14"/>
        <v>No</v>
      </c>
      <c r="S205" t="str">
        <f t="shared" si="15"/>
        <v>Continue monitoring</v>
      </c>
    </row>
    <row r="206" spans="1:19" x14ac:dyDescent="0.35">
      <c r="A206" t="s">
        <v>945</v>
      </c>
      <c r="B206" s="5">
        <v>46241</v>
      </c>
      <c r="C206" t="s">
        <v>23</v>
      </c>
      <c r="D206" t="s">
        <v>30</v>
      </c>
      <c r="E206" t="s">
        <v>36</v>
      </c>
      <c r="F206" t="s">
        <v>42</v>
      </c>
      <c r="G206" t="s">
        <v>739</v>
      </c>
      <c r="H206" t="s">
        <v>96</v>
      </c>
      <c r="I206" t="s">
        <v>732</v>
      </c>
      <c r="J206">
        <v>1</v>
      </c>
      <c r="K206">
        <v>1</v>
      </c>
      <c r="L206" t="s">
        <v>743</v>
      </c>
      <c r="M206" s="8">
        <v>1058924</v>
      </c>
      <c r="N206">
        <v>71</v>
      </c>
      <c r="O206">
        <v>12</v>
      </c>
      <c r="P206">
        <f t="shared" si="12"/>
        <v>8</v>
      </c>
      <c r="Q206" t="str">
        <f t="shared" si="13"/>
        <v>Monitor</v>
      </c>
      <c r="R206" t="str">
        <f t="shared" si="14"/>
        <v>No</v>
      </c>
      <c r="S206" t="str">
        <f t="shared" si="15"/>
        <v>Review defect trend and containment</v>
      </c>
    </row>
    <row r="207" spans="1:19" x14ac:dyDescent="0.35">
      <c r="A207" t="s">
        <v>946</v>
      </c>
      <c r="B207" s="5">
        <v>46218</v>
      </c>
      <c r="C207" t="s">
        <v>24</v>
      </c>
      <c r="D207" t="s">
        <v>30</v>
      </c>
      <c r="E207" t="s">
        <v>37</v>
      </c>
      <c r="F207" t="s">
        <v>45</v>
      </c>
      <c r="G207" t="s">
        <v>730</v>
      </c>
      <c r="H207" t="s">
        <v>96</v>
      </c>
      <c r="I207" t="s">
        <v>732</v>
      </c>
      <c r="J207">
        <v>3</v>
      </c>
      <c r="K207">
        <v>2</v>
      </c>
      <c r="L207" t="s">
        <v>733</v>
      </c>
      <c r="M207" s="8">
        <v>2096504</v>
      </c>
      <c r="N207">
        <v>53</v>
      </c>
      <c r="O207">
        <v>12</v>
      </c>
      <c r="P207">
        <f t="shared" si="12"/>
        <v>8</v>
      </c>
      <c r="Q207" t="str">
        <f t="shared" si="13"/>
        <v>Monitor</v>
      </c>
      <c r="R207" t="str">
        <f t="shared" si="14"/>
        <v>No</v>
      </c>
      <c r="S207" t="str">
        <f t="shared" si="15"/>
        <v>Continue monitoring</v>
      </c>
    </row>
    <row r="208" spans="1:19" x14ac:dyDescent="0.35">
      <c r="A208" t="s">
        <v>947</v>
      </c>
      <c r="B208" s="5">
        <v>46094</v>
      </c>
      <c r="C208" t="s">
        <v>22</v>
      </c>
      <c r="D208" t="s">
        <v>27</v>
      </c>
      <c r="E208" t="s">
        <v>39</v>
      </c>
      <c r="F208" t="s">
        <v>45</v>
      </c>
      <c r="G208" t="s">
        <v>742</v>
      </c>
      <c r="H208" t="s">
        <v>96</v>
      </c>
      <c r="I208" t="s">
        <v>732</v>
      </c>
      <c r="J208">
        <v>5</v>
      </c>
      <c r="K208">
        <v>2</v>
      </c>
      <c r="L208" t="s">
        <v>743</v>
      </c>
      <c r="M208" s="8">
        <v>736318</v>
      </c>
      <c r="N208">
        <v>38</v>
      </c>
      <c r="O208">
        <v>12</v>
      </c>
      <c r="P208">
        <f t="shared" si="12"/>
        <v>12</v>
      </c>
      <c r="Q208" t="str">
        <f t="shared" si="13"/>
        <v>Review Required</v>
      </c>
      <c r="R208" t="str">
        <f t="shared" si="14"/>
        <v>Yes</v>
      </c>
      <c r="S208" t="str">
        <f t="shared" si="15"/>
        <v>Continue monitoring</v>
      </c>
    </row>
    <row r="209" spans="1:19" x14ac:dyDescent="0.35">
      <c r="A209" t="s">
        <v>948</v>
      </c>
      <c r="B209" s="5">
        <v>46072</v>
      </c>
      <c r="C209" t="s">
        <v>25</v>
      </c>
      <c r="D209" t="s">
        <v>30</v>
      </c>
      <c r="E209" t="s">
        <v>36</v>
      </c>
      <c r="F209" t="s">
        <v>47</v>
      </c>
      <c r="G209" t="s">
        <v>730</v>
      </c>
      <c r="H209" t="s">
        <v>731</v>
      </c>
      <c r="I209" t="s">
        <v>732</v>
      </c>
      <c r="J209">
        <v>1</v>
      </c>
      <c r="K209">
        <v>4</v>
      </c>
      <c r="L209" t="s">
        <v>745</v>
      </c>
      <c r="M209" s="8">
        <v>1376856</v>
      </c>
      <c r="N209">
        <v>6</v>
      </c>
      <c r="O209">
        <v>12</v>
      </c>
      <c r="P209">
        <f t="shared" si="12"/>
        <v>4</v>
      </c>
      <c r="Q209" t="str">
        <f t="shared" si="13"/>
        <v>Monitor</v>
      </c>
      <c r="R209" t="str">
        <f t="shared" si="14"/>
        <v>Yes</v>
      </c>
      <c r="S209" t="str">
        <f t="shared" si="15"/>
        <v>Continue monitoring</v>
      </c>
    </row>
    <row r="210" spans="1:19" x14ac:dyDescent="0.35">
      <c r="A210" t="s">
        <v>949</v>
      </c>
      <c r="B210" s="5">
        <v>46055</v>
      </c>
      <c r="C210" t="s">
        <v>20</v>
      </c>
      <c r="D210" t="s">
        <v>30</v>
      </c>
      <c r="E210" t="s">
        <v>37</v>
      </c>
      <c r="F210" t="s">
        <v>45</v>
      </c>
      <c r="G210" t="s">
        <v>739</v>
      </c>
      <c r="H210" t="s">
        <v>731</v>
      </c>
      <c r="I210" t="s">
        <v>735</v>
      </c>
      <c r="J210">
        <v>4</v>
      </c>
      <c r="K210">
        <v>4</v>
      </c>
      <c r="L210" t="s">
        <v>733</v>
      </c>
      <c r="M210" s="8">
        <v>310417</v>
      </c>
      <c r="N210">
        <v>25</v>
      </c>
      <c r="O210">
        <v>12</v>
      </c>
      <c r="P210">
        <f t="shared" si="12"/>
        <v>26</v>
      </c>
      <c r="Q210" t="str">
        <f t="shared" si="13"/>
        <v>Review Required</v>
      </c>
      <c r="R210" t="str">
        <f t="shared" si="14"/>
        <v>Yes</v>
      </c>
      <c r="S210" t="str">
        <f t="shared" si="15"/>
        <v>Review defect trend and containment</v>
      </c>
    </row>
    <row r="211" spans="1:19" x14ac:dyDescent="0.35">
      <c r="A211" t="s">
        <v>950</v>
      </c>
      <c r="B211" s="5">
        <v>46290</v>
      </c>
      <c r="C211" t="s">
        <v>20</v>
      </c>
      <c r="D211" t="s">
        <v>27</v>
      </c>
      <c r="E211" t="s">
        <v>37</v>
      </c>
      <c r="F211" t="s">
        <v>46</v>
      </c>
      <c r="G211" t="s">
        <v>742</v>
      </c>
      <c r="H211" t="s">
        <v>731</v>
      </c>
      <c r="I211" t="s">
        <v>735</v>
      </c>
      <c r="J211">
        <v>1</v>
      </c>
      <c r="K211">
        <v>4</v>
      </c>
      <c r="L211" t="s">
        <v>736</v>
      </c>
      <c r="M211" s="8">
        <v>2289065</v>
      </c>
      <c r="N211">
        <v>24</v>
      </c>
      <c r="O211">
        <v>12</v>
      </c>
      <c r="P211">
        <f t="shared" si="12"/>
        <v>9</v>
      </c>
      <c r="Q211" t="str">
        <f t="shared" si="13"/>
        <v>Approaching Review</v>
      </c>
      <c r="R211" t="str">
        <f t="shared" si="14"/>
        <v>No</v>
      </c>
      <c r="S211" t="str">
        <f t="shared" si="15"/>
        <v>Escalate supplier readiness</v>
      </c>
    </row>
    <row r="212" spans="1:19" x14ac:dyDescent="0.35">
      <c r="A212" t="s">
        <v>951</v>
      </c>
      <c r="B212" s="5">
        <v>46143</v>
      </c>
      <c r="C212" t="s">
        <v>24</v>
      </c>
      <c r="D212" t="s">
        <v>31</v>
      </c>
      <c r="E212" t="s">
        <v>36</v>
      </c>
      <c r="F212" t="s">
        <v>45</v>
      </c>
      <c r="G212" t="s">
        <v>730</v>
      </c>
      <c r="H212" t="s">
        <v>731</v>
      </c>
      <c r="I212" t="s">
        <v>735</v>
      </c>
      <c r="J212">
        <v>3</v>
      </c>
      <c r="K212">
        <v>3</v>
      </c>
      <c r="L212" t="s">
        <v>743</v>
      </c>
      <c r="M212" s="8">
        <v>1929330</v>
      </c>
      <c r="N212">
        <v>75</v>
      </c>
      <c r="O212">
        <v>12</v>
      </c>
      <c r="P212">
        <f t="shared" si="12"/>
        <v>14</v>
      </c>
      <c r="Q212" t="str">
        <f t="shared" si="13"/>
        <v>Review Required</v>
      </c>
      <c r="R212" t="str">
        <f t="shared" si="14"/>
        <v>Yes</v>
      </c>
      <c r="S212" t="str">
        <f t="shared" si="15"/>
        <v>Escalate supplier readiness</v>
      </c>
    </row>
    <row r="213" spans="1:19" x14ac:dyDescent="0.35">
      <c r="A213" t="s">
        <v>952</v>
      </c>
      <c r="B213" s="5">
        <v>46112</v>
      </c>
      <c r="C213" t="s">
        <v>25</v>
      </c>
      <c r="D213" t="s">
        <v>31</v>
      </c>
      <c r="E213" t="s">
        <v>37</v>
      </c>
      <c r="F213" t="s">
        <v>45</v>
      </c>
      <c r="G213" t="s">
        <v>739</v>
      </c>
      <c r="H213" t="s">
        <v>731</v>
      </c>
      <c r="I213" t="s">
        <v>732</v>
      </c>
      <c r="J213">
        <v>2</v>
      </c>
      <c r="K213">
        <v>2</v>
      </c>
      <c r="L213" t="s">
        <v>743</v>
      </c>
      <c r="M213" s="8">
        <v>1361501</v>
      </c>
      <c r="N213">
        <v>37</v>
      </c>
      <c r="O213">
        <v>12</v>
      </c>
      <c r="P213">
        <f t="shared" si="12"/>
        <v>9</v>
      </c>
      <c r="Q213" t="str">
        <f t="shared" si="13"/>
        <v>Approaching Review</v>
      </c>
      <c r="R213" t="str">
        <f t="shared" si="14"/>
        <v>No</v>
      </c>
      <c r="S213" t="str">
        <f t="shared" si="15"/>
        <v>Review defect trend and containment</v>
      </c>
    </row>
    <row r="214" spans="1:19" x14ac:dyDescent="0.35">
      <c r="A214" t="s">
        <v>953</v>
      </c>
      <c r="B214" s="5">
        <v>46269</v>
      </c>
      <c r="C214" t="s">
        <v>24</v>
      </c>
      <c r="D214" t="s">
        <v>29</v>
      </c>
      <c r="E214" t="s">
        <v>34</v>
      </c>
      <c r="F214" t="s">
        <v>45</v>
      </c>
      <c r="G214" t="s">
        <v>739</v>
      </c>
      <c r="H214" t="s">
        <v>96</v>
      </c>
      <c r="I214" t="s">
        <v>732</v>
      </c>
      <c r="J214">
        <v>4</v>
      </c>
      <c r="K214">
        <v>2</v>
      </c>
      <c r="L214" t="s">
        <v>736</v>
      </c>
      <c r="M214" s="8">
        <v>2488649</v>
      </c>
      <c r="N214">
        <v>11</v>
      </c>
      <c r="O214">
        <v>12</v>
      </c>
      <c r="P214">
        <f t="shared" si="12"/>
        <v>15</v>
      </c>
      <c r="Q214" t="str">
        <f t="shared" si="13"/>
        <v>Review Required</v>
      </c>
      <c r="R214" t="str">
        <f t="shared" si="14"/>
        <v>Yes</v>
      </c>
      <c r="S214" t="str">
        <f t="shared" si="15"/>
        <v>Review defect trend and containment</v>
      </c>
    </row>
    <row r="215" spans="1:19" x14ac:dyDescent="0.35">
      <c r="A215" t="s">
        <v>954</v>
      </c>
      <c r="B215" s="5">
        <v>46188</v>
      </c>
      <c r="C215" t="s">
        <v>24</v>
      </c>
      <c r="D215" t="s">
        <v>27</v>
      </c>
      <c r="E215" t="s">
        <v>36</v>
      </c>
      <c r="F215" t="s">
        <v>42</v>
      </c>
      <c r="G215" t="s">
        <v>739</v>
      </c>
      <c r="H215" t="s">
        <v>731</v>
      </c>
      <c r="I215" t="s">
        <v>732</v>
      </c>
      <c r="J215">
        <v>4</v>
      </c>
      <c r="K215">
        <v>1</v>
      </c>
      <c r="L215" t="s">
        <v>733</v>
      </c>
      <c r="M215" s="8">
        <v>2156268</v>
      </c>
      <c r="N215">
        <v>21</v>
      </c>
      <c r="O215">
        <v>12</v>
      </c>
      <c r="P215">
        <f t="shared" si="12"/>
        <v>9</v>
      </c>
      <c r="Q215" t="str">
        <f t="shared" si="13"/>
        <v>Approaching Review</v>
      </c>
      <c r="R215" t="str">
        <f t="shared" si="14"/>
        <v>No</v>
      </c>
      <c r="S215" t="str">
        <f t="shared" si="15"/>
        <v>Review defect trend and containment</v>
      </c>
    </row>
    <row r="216" spans="1:19" x14ac:dyDescent="0.35">
      <c r="A216" t="s">
        <v>955</v>
      </c>
      <c r="B216" s="5">
        <v>46084</v>
      </c>
      <c r="C216" t="s">
        <v>25</v>
      </c>
      <c r="D216" t="s">
        <v>29</v>
      </c>
      <c r="E216" t="s">
        <v>38</v>
      </c>
      <c r="F216" t="s">
        <v>48</v>
      </c>
      <c r="G216" t="s">
        <v>730</v>
      </c>
      <c r="H216" t="s">
        <v>731</v>
      </c>
      <c r="I216" t="s">
        <v>732</v>
      </c>
      <c r="J216">
        <v>4</v>
      </c>
      <c r="K216">
        <v>2</v>
      </c>
      <c r="L216" t="s">
        <v>745</v>
      </c>
      <c r="M216" s="8">
        <v>1630212</v>
      </c>
      <c r="N216">
        <v>13</v>
      </c>
      <c r="O216">
        <v>12</v>
      </c>
      <c r="P216">
        <f t="shared" si="12"/>
        <v>8</v>
      </c>
      <c r="Q216" t="str">
        <f t="shared" si="13"/>
        <v>Monitor</v>
      </c>
      <c r="R216" t="str">
        <f t="shared" si="14"/>
        <v>Yes</v>
      </c>
      <c r="S216" t="str">
        <f t="shared" si="15"/>
        <v>Continue monitoring</v>
      </c>
    </row>
    <row r="217" spans="1:19" x14ac:dyDescent="0.35">
      <c r="A217" t="s">
        <v>956</v>
      </c>
      <c r="B217" s="5">
        <v>46066</v>
      </c>
      <c r="C217" t="s">
        <v>22</v>
      </c>
      <c r="D217" t="s">
        <v>30</v>
      </c>
      <c r="E217" t="s">
        <v>36</v>
      </c>
      <c r="F217" t="s">
        <v>46</v>
      </c>
      <c r="G217" t="s">
        <v>730</v>
      </c>
      <c r="H217" t="s">
        <v>96</v>
      </c>
      <c r="I217" t="s">
        <v>735</v>
      </c>
      <c r="J217">
        <v>1</v>
      </c>
      <c r="K217">
        <v>2</v>
      </c>
      <c r="L217" t="s">
        <v>733</v>
      </c>
      <c r="M217" s="8">
        <v>2271444</v>
      </c>
      <c r="N217">
        <v>71</v>
      </c>
      <c r="O217">
        <v>12</v>
      </c>
      <c r="P217">
        <f t="shared" si="12"/>
        <v>9</v>
      </c>
      <c r="Q217" t="str">
        <f t="shared" si="13"/>
        <v>Approaching Review</v>
      </c>
      <c r="R217" t="str">
        <f t="shared" si="14"/>
        <v>No</v>
      </c>
      <c r="S217" t="str">
        <f t="shared" si="15"/>
        <v>Escalate supplier readiness</v>
      </c>
    </row>
    <row r="218" spans="1:19" x14ac:dyDescent="0.35">
      <c r="A218" t="s">
        <v>957</v>
      </c>
      <c r="B218" s="5">
        <v>46301</v>
      </c>
      <c r="C218" t="s">
        <v>25</v>
      </c>
      <c r="D218" t="s">
        <v>32</v>
      </c>
      <c r="E218" t="s">
        <v>37</v>
      </c>
      <c r="F218" t="s">
        <v>42</v>
      </c>
      <c r="G218" t="s">
        <v>730</v>
      </c>
      <c r="H218" t="s">
        <v>731</v>
      </c>
      <c r="I218" t="s">
        <v>747</v>
      </c>
      <c r="J218">
        <v>5</v>
      </c>
      <c r="K218">
        <v>2</v>
      </c>
      <c r="L218" t="s">
        <v>733</v>
      </c>
      <c r="M218" s="8">
        <v>2360395</v>
      </c>
      <c r="N218">
        <v>53</v>
      </c>
      <c r="O218">
        <v>12</v>
      </c>
      <c r="P218">
        <f t="shared" si="12"/>
        <v>12</v>
      </c>
      <c r="Q218" t="str">
        <f t="shared" si="13"/>
        <v>Review Required</v>
      </c>
      <c r="R218" t="str">
        <f t="shared" si="14"/>
        <v>Yes</v>
      </c>
      <c r="S218" t="str">
        <f t="shared" si="15"/>
        <v>Continue monitoring</v>
      </c>
    </row>
    <row r="219" spans="1:19" x14ac:dyDescent="0.35">
      <c r="A219" t="s">
        <v>958</v>
      </c>
      <c r="B219" s="5">
        <v>46094</v>
      </c>
      <c r="C219" t="s">
        <v>23</v>
      </c>
      <c r="D219" t="s">
        <v>31</v>
      </c>
      <c r="E219" t="s">
        <v>38</v>
      </c>
      <c r="F219" t="s">
        <v>45</v>
      </c>
      <c r="G219" t="s">
        <v>742</v>
      </c>
      <c r="H219" t="s">
        <v>731</v>
      </c>
      <c r="I219" t="s">
        <v>732</v>
      </c>
      <c r="J219">
        <v>5</v>
      </c>
      <c r="K219">
        <v>1</v>
      </c>
      <c r="L219" t="s">
        <v>736</v>
      </c>
      <c r="M219" s="8">
        <v>656385</v>
      </c>
      <c r="N219">
        <v>58</v>
      </c>
      <c r="O219">
        <v>12</v>
      </c>
      <c r="P219">
        <f t="shared" si="12"/>
        <v>5</v>
      </c>
      <c r="Q219" t="str">
        <f t="shared" si="13"/>
        <v>Monitor</v>
      </c>
      <c r="R219" t="str">
        <f t="shared" si="14"/>
        <v>No</v>
      </c>
      <c r="S219" t="str">
        <f t="shared" si="15"/>
        <v>Continue monitoring</v>
      </c>
    </row>
    <row r="220" spans="1:19" x14ac:dyDescent="0.35">
      <c r="A220" t="s">
        <v>959</v>
      </c>
      <c r="B220" s="5">
        <v>46158</v>
      </c>
      <c r="C220" t="s">
        <v>22</v>
      </c>
      <c r="D220" t="s">
        <v>30</v>
      </c>
      <c r="E220" t="s">
        <v>39</v>
      </c>
      <c r="F220" t="s">
        <v>47</v>
      </c>
      <c r="G220" t="s">
        <v>730</v>
      </c>
      <c r="H220" t="s">
        <v>731</v>
      </c>
      <c r="I220" t="s">
        <v>732</v>
      </c>
      <c r="J220">
        <v>1</v>
      </c>
      <c r="K220">
        <v>1</v>
      </c>
      <c r="L220" t="s">
        <v>736</v>
      </c>
      <c r="M220" s="8">
        <v>2262282</v>
      </c>
      <c r="N220">
        <v>37</v>
      </c>
      <c r="O220">
        <v>12</v>
      </c>
      <c r="P220">
        <f t="shared" si="12"/>
        <v>1</v>
      </c>
      <c r="Q220" t="str">
        <f t="shared" si="13"/>
        <v>Monitor</v>
      </c>
      <c r="R220" t="str">
        <f t="shared" si="14"/>
        <v>No</v>
      </c>
      <c r="S220" t="str">
        <f t="shared" si="15"/>
        <v>Continue monitoring</v>
      </c>
    </row>
    <row r="221" spans="1:19" x14ac:dyDescent="0.35">
      <c r="A221" t="s">
        <v>960</v>
      </c>
      <c r="B221" s="5">
        <v>46209</v>
      </c>
      <c r="C221" t="s">
        <v>20</v>
      </c>
      <c r="D221" t="s">
        <v>31</v>
      </c>
      <c r="E221" t="s">
        <v>36</v>
      </c>
      <c r="F221" t="s">
        <v>48</v>
      </c>
      <c r="G221" t="s">
        <v>730</v>
      </c>
      <c r="H221" t="s">
        <v>96</v>
      </c>
      <c r="I221" t="s">
        <v>747</v>
      </c>
      <c r="J221">
        <v>1</v>
      </c>
      <c r="K221">
        <v>3</v>
      </c>
      <c r="L221" t="s">
        <v>733</v>
      </c>
      <c r="M221" s="8">
        <v>2437114</v>
      </c>
      <c r="N221">
        <v>64</v>
      </c>
      <c r="O221">
        <v>12</v>
      </c>
      <c r="P221">
        <f t="shared" si="12"/>
        <v>7</v>
      </c>
      <c r="Q221" t="str">
        <f t="shared" si="13"/>
        <v>Monitor</v>
      </c>
      <c r="R221" t="str">
        <f t="shared" si="14"/>
        <v>No</v>
      </c>
      <c r="S221" t="str">
        <f t="shared" si="15"/>
        <v>Continue monitoring</v>
      </c>
    </row>
    <row r="222" spans="1:19" x14ac:dyDescent="0.35">
      <c r="A222" t="s">
        <v>961</v>
      </c>
      <c r="B222" s="5">
        <v>46046</v>
      </c>
      <c r="C222" t="s">
        <v>24</v>
      </c>
      <c r="D222" t="s">
        <v>27</v>
      </c>
      <c r="E222" t="s">
        <v>34</v>
      </c>
      <c r="F222" t="s">
        <v>45</v>
      </c>
      <c r="G222" t="s">
        <v>730</v>
      </c>
      <c r="H222" t="s">
        <v>731</v>
      </c>
      <c r="I222" t="s">
        <v>735</v>
      </c>
      <c r="J222">
        <v>3</v>
      </c>
      <c r="K222">
        <v>2</v>
      </c>
      <c r="L222" t="s">
        <v>733</v>
      </c>
      <c r="M222" s="8">
        <v>1547620</v>
      </c>
      <c r="N222">
        <v>45</v>
      </c>
      <c r="O222">
        <v>12</v>
      </c>
      <c r="P222">
        <f t="shared" si="12"/>
        <v>11</v>
      </c>
      <c r="Q222" t="str">
        <f t="shared" si="13"/>
        <v>Approaching Review</v>
      </c>
      <c r="R222" t="str">
        <f t="shared" si="14"/>
        <v>No</v>
      </c>
      <c r="S222" t="str">
        <f t="shared" si="15"/>
        <v>Escalate supplier readiness</v>
      </c>
    </row>
    <row r="223" spans="1:19" x14ac:dyDescent="0.35">
      <c r="A223" t="s">
        <v>962</v>
      </c>
      <c r="B223" s="5">
        <v>46118</v>
      </c>
      <c r="C223" t="s">
        <v>22</v>
      </c>
      <c r="D223" t="s">
        <v>27</v>
      </c>
      <c r="E223" t="s">
        <v>38</v>
      </c>
      <c r="F223" t="s">
        <v>42</v>
      </c>
      <c r="G223" t="s">
        <v>730</v>
      </c>
      <c r="H223" t="s">
        <v>96</v>
      </c>
      <c r="I223" t="s">
        <v>732</v>
      </c>
      <c r="J223">
        <v>1</v>
      </c>
      <c r="K223">
        <v>4</v>
      </c>
      <c r="L223" t="s">
        <v>733</v>
      </c>
      <c r="M223" s="8">
        <v>2066419</v>
      </c>
      <c r="N223">
        <v>12</v>
      </c>
      <c r="O223">
        <v>12</v>
      </c>
      <c r="P223">
        <f t="shared" si="12"/>
        <v>6</v>
      </c>
      <c r="Q223" t="str">
        <f t="shared" si="13"/>
        <v>Monitor</v>
      </c>
      <c r="R223" t="str">
        <f t="shared" si="14"/>
        <v>No</v>
      </c>
      <c r="S223" t="str">
        <f t="shared" si="15"/>
        <v>Continue monitoring</v>
      </c>
    </row>
    <row r="224" spans="1:19" x14ac:dyDescent="0.35">
      <c r="A224" t="s">
        <v>963</v>
      </c>
      <c r="B224" s="5">
        <v>46256</v>
      </c>
      <c r="C224" t="s">
        <v>25</v>
      </c>
      <c r="D224" t="s">
        <v>29</v>
      </c>
      <c r="E224" t="s">
        <v>39</v>
      </c>
      <c r="F224" t="s">
        <v>46</v>
      </c>
      <c r="G224" t="s">
        <v>739</v>
      </c>
      <c r="H224" t="s">
        <v>96</v>
      </c>
      <c r="I224" t="s">
        <v>747</v>
      </c>
      <c r="J224">
        <v>1</v>
      </c>
      <c r="K224">
        <v>1</v>
      </c>
      <c r="L224" t="s">
        <v>745</v>
      </c>
      <c r="M224" s="8">
        <v>204787</v>
      </c>
      <c r="N224">
        <v>17</v>
      </c>
      <c r="O224">
        <v>12</v>
      </c>
      <c r="P224">
        <f t="shared" si="12"/>
        <v>10</v>
      </c>
      <c r="Q224" t="str">
        <f t="shared" si="13"/>
        <v>Approaching Review</v>
      </c>
      <c r="R224" t="str">
        <f t="shared" si="14"/>
        <v>Yes</v>
      </c>
      <c r="S224" t="str">
        <f t="shared" si="15"/>
        <v>Review defect trend and containment</v>
      </c>
    </row>
    <row r="225" spans="1:19" x14ac:dyDescent="0.35">
      <c r="A225" t="s">
        <v>964</v>
      </c>
      <c r="B225" s="5">
        <v>46037</v>
      </c>
      <c r="C225" t="s">
        <v>24</v>
      </c>
      <c r="D225" t="s">
        <v>30</v>
      </c>
      <c r="E225" t="s">
        <v>38</v>
      </c>
      <c r="F225" t="s">
        <v>48</v>
      </c>
      <c r="G225" t="s">
        <v>742</v>
      </c>
      <c r="H225" t="s">
        <v>731</v>
      </c>
      <c r="I225" t="s">
        <v>747</v>
      </c>
      <c r="J225">
        <v>3</v>
      </c>
      <c r="K225">
        <v>3</v>
      </c>
      <c r="L225" t="s">
        <v>745</v>
      </c>
      <c r="M225" s="8">
        <v>2377178</v>
      </c>
      <c r="N225">
        <v>21</v>
      </c>
      <c r="O225">
        <v>12</v>
      </c>
      <c r="P225">
        <f t="shared" si="12"/>
        <v>11</v>
      </c>
      <c r="Q225" t="str">
        <f t="shared" si="13"/>
        <v>Approaching Review</v>
      </c>
      <c r="R225" t="str">
        <f t="shared" si="14"/>
        <v>Yes</v>
      </c>
      <c r="S225" t="str">
        <f t="shared" si="15"/>
        <v>Continue monitoring</v>
      </c>
    </row>
    <row r="226" spans="1:19" x14ac:dyDescent="0.35">
      <c r="A226" t="s">
        <v>965</v>
      </c>
      <c r="B226" s="5">
        <v>46258</v>
      </c>
      <c r="C226" t="s">
        <v>25</v>
      </c>
      <c r="D226" t="s">
        <v>32</v>
      </c>
      <c r="E226" t="s">
        <v>38</v>
      </c>
      <c r="F226" t="s">
        <v>46</v>
      </c>
      <c r="G226" t="s">
        <v>730</v>
      </c>
      <c r="H226" t="s">
        <v>731</v>
      </c>
      <c r="I226" t="s">
        <v>732</v>
      </c>
      <c r="J226">
        <v>1</v>
      </c>
      <c r="K226">
        <v>3</v>
      </c>
      <c r="L226" t="s">
        <v>745</v>
      </c>
      <c r="M226" s="8">
        <v>2176724</v>
      </c>
      <c r="N226">
        <v>13</v>
      </c>
      <c r="O226">
        <v>12</v>
      </c>
      <c r="P226">
        <f t="shared" si="12"/>
        <v>3</v>
      </c>
      <c r="Q226" t="str">
        <f t="shared" si="13"/>
        <v>Monitor</v>
      </c>
      <c r="R226" t="str">
        <f t="shared" si="14"/>
        <v>Yes</v>
      </c>
      <c r="S226" t="str">
        <f t="shared" si="15"/>
        <v>Continue monitoring</v>
      </c>
    </row>
    <row r="227" spans="1:19" x14ac:dyDescent="0.35">
      <c r="A227" t="s">
        <v>966</v>
      </c>
      <c r="B227" s="5">
        <v>46130</v>
      </c>
      <c r="C227" t="s">
        <v>22</v>
      </c>
      <c r="D227" t="s">
        <v>31</v>
      </c>
      <c r="E227" t="s">
        <v>40</v>
      </c>
      <c r="F227" t="s">
        <v>42</v>
      </c>
      <c r="G227" t="s">
        <v>739</v>
      </c>
      <c r="H227" t="s">
        <v>822</v>
      </c>
      <c r="I227" t="s">
        <v>732</v>
      </c>
      <c r="J227">
        <v>2</v>
      </c>
      <c r="K227">
        <v>5</v>
      </c>
      <c r="L227" t="s">
        <v>743</v>
      </c>
      <c r="M227" s="8">
        <v>384229</v>
      </c>
      <c r="N227">
        <v>75</v>
      </c>
      <c r="O227">
        <v>12</v>
      </c>
      <c r="P227">
        <f t="shared" si="12"/>
        <v>20</v>
      </c>
      <c r="Q227" t="str">
        <f t="shared" si="13"/>
        <v>Review Required</v>
      </c>
      <c r="R227" t="str">
        <f t="shared" si="14"/>
        <v>Yes</v>
      </c>
      <c r="S227" t="str">
        <f t="shared" si="15"/>
        <v>Validate calibration evidence</v>
      </c>
    </row>
    <row r="228" spans="1:19" x14ac:dyDescent="0.35">
      <c r="A228" t="s">
        <v>967</v>
      </c>
      <c r="B228" s="5">
        <v>46032</v>
      </c>
      <c r="C228" t="s">
        <v>23</v>
      </c>
      <c r="D228" t="s">
        <v>30</v>
      </c>
      <c r="E228" t="s">
        <v>40</v>
      </c>
      <c r="F228" t="s">
        <v>48</v>
      </c>
      <c r="G228" t="s">
        <v>730</v>
      </c>
      <c r="H228" t="s">
        <v>96</v>
      </c>
      <c r="I228" t="s">
        <v>747</v>
      </c>
      <c r="J228">
        <v>2</v>
      </c>
      <c r="K228">
        <v>4</v>
      </c>
      <c r="L228" t="s">
        <v>733</v>
      </c>
      <c r="M228" s="8">
        <v>658543</v>
      </c>
      <c r="N228">
        <v>27</v>
      </c>
      <c r="O228">
        <v>12</v>
      </c>
      <c r="P228">
        <f t="shared" si="12"/>
        <v>12</v>
      </c>
      <c r="Q228" t="str">
        <f t="shared" si="13"/>
        <v>Review Required</v>
      </c>
      <c r="R228" t="str">
        <f t="shared" si="14"/>
        <v>Yes</v>
      </c>
      <c r="S228" t="str">
        <f t="shared" si="15"/>
        <v>Continue monitoring</v>
      </c>
    </row>
    <row r="229" spans="1:19" x14ac:dyDescent="0.35">
      <c r="A229" t="s">
        <v>968</v>
      </c>
      <c r="B229" s="5">
        <v>46195</v>
      </c>
      <c r="C229" t="s">
        <v>20</v>
      </c>
      <c r="D229" t="s">
        <v>29</v>
      </c>
      <c r="E229" t="s">
        <v>37</v>
      </c>
      <c r="F229" t="s">
        <v>42</v>
      </c>
      <c r="G229" t="s">
        <v>739</v>
      </c>
      <c r="H229" t="s">
        <v>731</v>
      </c>
      <c r="I229" t="s">
        <v>732</v>
      </c>
      <c r="J229">
        <v>3</v>
      </c>
      <c r="K229">
        <v>1</v>
      </c>
      <c r="L229" t="s">
        <v>745</v>
      </c>
      <c r="M229" s="8">
        <v>839477</v>
      </c>
      <c r="N229">
        <v>4</v>
      </c>
      <c r="O229">
        <v>12</v>
      </c>
      <c r="P229">
        <f t="shared" si="12"/>
        <v>8</v>
      </c>
      <c r="Q229" t="str">
        <f t="shared" si="13"/>
        <v>Monitor</v>
      </c>
      <c r="R229" t="str">
        <f t="shared" si="14"/>
        <v>Yes</v>
      </c>
      <c r="S229" t="str">
        <f t="shared" si="15"/>
        <v>Review defect trend and containment</v>
      </c>
    </row>
    <row r="230" spans="1:19" x14ac:dyDescent="0.35">
      <c r="A230" t="s">
        <v>969</v>
      </c>
      <c r="B230" s="5">
        <v>46101</v>
      </c>
      <c r="C230" t="s">
        <v>24</v>
      </c>
      <c r="D230" t="s">
        <v>27</v>
      </c>
      <c r="E230" t="s">
        <v>40</v>
      </c>
      <c r="F230" t="s">
        <v>44</v>
      </c>
      <c r="G230" t="s">
        <v>730</v>
      </c>
      <c r="H230" t="s">
        <v>731</v>
      </c>
      <c r="I230" t="s">
        <v>747</v>
      </c>
      <c r="J230">
        <v>1</v>
      </c>
      <c r="K230">
        <v>2</v>
      </c>
      <c r="L230" t="s">
        <v>733</v>
      </c>
      <c r="M230" s="8">
        <v>2010577</v>
      </c>
      <c r="N230">
        <v>59</v>
      </c>
      <c r="O230">
        <v>12</v>
      </c>
      <c r="P230">
        <f t="shared" si="12"/>
        <v>4</v>
      </c>
      <c r="Q230" t="str">
        <f t="shared" si="13"/>
        <v>Monitor</v>
      </c>
      <c r="R230" t="str">
        <f t="shared" si="14"/>
        <v>No</v>
      </c>
      <c r="S230" t="str">
        <f t="shared" si="15"/>
        <v>Continue monitoring</v>
      </c>
    </row>
    <row r="231" spans="1:19" x14ac:dyDescent="0.35">
      <c r="A231" t="s">
        <v>970</v>
      </c>
      <c r="B231" s="5">
        <v>46147</v>
      </c>
      <c r="C231" t="s">
        <v>23</v>
      </c>
      <c r="D231" t="s">
        <v>29</v>
      </c>
      <c r="E231" t="s">
        <v>40</v>
      </c>
      <c r="F231" t="s">
        <v>45</v>
      </c>
      <c r="G231" t="s">
        <v>739</v>
      </c>
      <c r="H231" t="s">
        <v>731</v>
      </c>
      <c r="I231" t="s">
        <v>747</v>
      </c>
      <c r="J231">
        <v>4</v>
      </c>
      <c r="K231">
        <v>1</v>
      </c>
      <c r="L231" t="s">
        <v>736</v>
      </c>
      <c r="M231" s="8">
        <v>2213032</v>
      </c>
      <c r="N231">
        <v>44</v>
      </c>
      <c r="O231">
        <v>12</v>
      </c>
      <c r="P231">
        <f t="shared" si="12"/>
        <v>11</v>
      </c>
      <c r="Q231" t="str">
        <f t="shared" si="13"/>
        <v>Approaching Review</v>
      </c>
      <c r="R231" t="str">
        <f t="shared" si="14"/>
        <v>No</v>
      </c>
      <c r="S231" t="str">
        <f t="shared" si="15"/>
        <v>Review defect trend and containment</v>
      </c>
    </row>
    <row r="232" spans="1:19" x14ac:dyDescent="0.35">
      <c r="A232" t="s">
        <v>971</v>
      </c>
      <c r="B232" s="5">
        <v>46269</v>
      </c>
      <c r="C232" t="s">
        <v>20</v>
      </c>
      <c r="D232" t="s">
        <v>27</v>
      </c>
      <c r="E232" t="s">
        <v>39</v>
      </c>
      <c r="F232" t="s">
        <v>45</v>
      </c>
      <c r="G232" t="s">
        <v>730</v>
      </c>
      <c r="H232" t="s">
        <v>731</v>
      </c>
      <c r="I232" t="s">
        <v>735</v>
      </c>
      <c r="J232">
        <v>1</v>
      </c>
      <c r="K232">
        <v>5</v>
      </c>
      <c r="L232" t="s">
        <v>743</v>
      </c>
      <c r="M232" s="8">
        <v>2417275</v>
      </c>
      <c r="N232">
        <v>7</v>
      </c>
      <c r="O232">
        <v>12</v>
      </c>
      <c r="P232">
        <f t="shared" si="12"/>
        <v>10</v>
      </c>
      <c r="Q232" t="str">
        <f t="shared" si="13"/>
        <v>Approaching Review</v>
      </c>
      <c r="R232" t="str">
        <f t="shared" si="14"/>
        <v>No</v>
      </c>
      <c r="S232" t="str">
        <f t="shared" si="15"/>
        <v>Escalate supplier readiness</v>
      </c>
    </row>
    <row r="233" spans="1:19" x14ac:dyDescent="0.35">
      <c r="A233" t="s">
        <v>972</v>
      </c>
      <c r="B233" s="5">
        <v>46265</v>
      </c>
      <c r="C233" t="s">
        <v>22</v>
      </c>
      <c r="D233" t="s">
        <v>27</v>
      </c>
      <c r="E233" t="s">
        <v>34</v>
      </c>
      <c r="F233" t="s">
        <v>48</v>
      </c>
      <c r="G233" t="s">
        <v>730</v>
      </c>
      <c r="H233" t="s">
        <v>731</v>
      </c>
      <c r="I233" t="s">
        <v>747</v>
      </c>
      <c r="J233">
        <v>5</v>
      </c>
      <c r="K233">
        <v>3</v>
      </c>
      <c r="L233" t="s">
        <v>743</v>
      </c>
      <c r="M233" s="8">
        <v>2027989</v>
      </c>
      <c r="N233">
        <v>38</v>
      </c>
      <c r="O233">
        <v>12</v>
      </c>
      <c r="P233">
        <f t="shared" si="12"/>
        <v>17</v>
      </c>
      <c r="Q233" t="str">
        <f t="shared" si="13"/>
        <v>Review Required</v>
      </c>
      <c r="R233" t="str">
        <f t="shared" si="14"/>
        <v>Yes</v>
      </c>
      <c r="S233" t="str">
        <f t="shared" si="15"/>
        <v>Continue monitoring</v>
      </c>
    </row>
    <row r="234" spans="1:19" x14ac:dyDescent="0.35">
      <c r="A234" t="s">
        <v>973</v>
      </c>
      <c r="B234" s="5">
        <v>46051</v>
      </c>
      <c r="C234" t="s">
        <v>22</v>
      </c>
      <c r="D234" t="s">
        <v>30</v>
      </c>
      <c r="E234" t="s">
        <v>34</v>
      </c>
      <c r="F234" t="s">
        <v>44</v>
      </c>
      <c r="G234" t="s">
        <v>742</v>
      </c>
      <c r="H234" t="s">
        <v>731</v>
      </c>
      <c r="I234" t="s">
        <v>747</v>
      </c>
      <c r="J234">
        <v>2</v>
      </c>
      <c r="K234">
        <v>3</v>
      </c>
      <c r="L234" t="s">
        <v>733</v>
      </c>
      <c r="M234" s="8">
        <v>947311</v>
      </c>
      <c r="N234">
        <v>44</v>
      </c>
      <c r="O234">
        <v>12</v>
      </c>
      <c r="P234">
        <f t="shared" si="12"/>
        <v>8</v>
      </c>
      <c r="Q234" t="str">
        <f t="shared" si="13"/>
        <v>Monitor</v>
      </c>
      <c r="R234" t="str">
        <f t="shared" si="14"/>
        <v>No</v>
      </c>
      <c r="S234" t="str">
        <f t="shared" si="15"/>
        <v>Continue monitoring</v>
      </c>
    </row>
    <row r="235" spans="1:19" x14ac:dyDescent="0.35">
      <c r="A235" t="s">
        <v>974</v>
      </c>
      <c r="B235" s="5">
        <v>46097</v>
      </c>
      <c r="C235" t="s">
        <v>20</v>
      </c>
      <c r="D235" t="s">
        <v>29</v>
      </c>
      <c r="E235" t="s">
        <v>40</v>
      </c>
      <c r="F235" t="s">
        <v>44</v>
      </c>
      <c r="G235" t="s">
        <v>742</v>
      </c>
      <c r="H235" t="s">
        <v>96</v>
      </c>
      <c r="I235" t="s">
        <v>732</v>
      </c>
      <c r="J235">
        <v>3</v>
      </c>
      <c r="K235">
        <v>4</v>
      </c>
      <c r="L235" t="s">
        <v>733</v>
      </c>
      <c r="M235" s="8">
        <v>2374533</v>
      </c>
      <c r="N235">
        <v>64</v>
      </c>
      <c r="O235">
        <v>12</v>
      </c>
      <c r="P235">
        <f t="shared" si="12"/>
        <v>14</v>
      </c>
      <c r="Q235" t="str">
        <f t="shared" si="13"/>
        <v>Review Required</v>
      </c>
      <c r="R235" t="str">
        <f t="shared" si="14"/>
        <v>Yes</v>
      </c>
      <c r="S235" t="str">
        <f t="shared" si="15"/>
        <v>Continue monitoring</v>
      </c>
    </row>
    <row r="236" spans="1:19" x14ac:dyDescent="0.35">
      <c r="A236" t="s">
        <v>975</v>
      </c>
      <c r="B236" s="5">
        <v>46153</v>
      </c>
      <c r="C236" t="s">
        <v>23</v>
      </c>
      <c r="D236" t="s">
        <v>29</v>
      </c>
      <c r="E236" t="s">
        <v>38</v>
      </c>
      <c r="F236" t="s">
        <v>44</v>
      </c>
      <c r="G236" t="s">
        <v>742</v>
      </c>
      <c r="H236" t="s">
        <v>731</v>
      </c>
      <c r="I236" t="s">
        <v>747</v>
      </c>
      <c r="J236">
        <v>3</v>
      </c>
      <c r="K236">
        <v>2</v>
      </c>
      <c r="L236" t="s">
        <v>745</v>
      </c>
      <c r="M236" s="8">
        <v>760181</v>
      </c>
      <c r="N236">
        <v>28</v>
      </c>
      <c r="O236">
        <v>12</v>
      </c>
      <c r="P236">
        <f t="shared" si="12"/>
        <v>8</v>
      </c>
      <c r="Q236" t="str">
        <f t="shared" si="13"/>
        <v>Monitor</v>
      </c>
      <c r="R236" t="str">
        <f t="shared" si="14"/>
        <v>Yes</v>
      </c>
      <c r="S236" t="str">
        <f t="shared" si="15"/>
        <v>Continue monitoring</v>
      </c>
    </row>
    <row r="237" spans="1:19" x14ac:dyDescent="0.35">
      <c r="A237" t="s">
        <v>976</v>
      </c>
      <c r="B237" s="5">
        <v>46197</v>
      </c>
      <c r="C237" t="s">
        <v>24</v>
      </c>
      <c r="D237" t="s">
        <v>27</v>
      </c>
      <c r="E237" t="s">
        <v>39</v>
      </c>
      <c r="F237" t="s">
        <v>47</v>
      </c>
      <c r="G237" t="s">
        <v>739</v>
      </c>
      <c r="H237" t="s">
        <v>731</v>
      </c>
      <c r="I237" t="s">
        <v>747</v>
      </c>
      <c r="J237">
        <v>2</v>
      </c>
      <c r="K237">
        <v>1</v>
      </c>
      <c r="L237" t="s">
        <v>743</v>
      </c>
      <c r="M237" s="8">
        <v>1970761</v>
      </c>
      <c r="N237">
        <v>58</v>
      </c>
      <c r="O237">
        <v>12</v>
      </c>
      <c r="P237">
        <f t="shared" si="12"/>
        <v>9</v>
      </c>
      <c r="Q237" t="str">
        <f t="shared" si="13"/>
        <v>Approaching Review</v>
      </c>
      <c r="R237" t="str">
        <f t="shared" si="14"/>
        <v>No</v>
      </c>
      <c r="S237" t="str">
        <f t="shared" si="15"/>
        <v>Review defect trend and containment</v>
      </c>
    </row>
    <row r="238" spans="1:19" x14ac:dyDescent="0.35">
      <c r="A238" t="s">
        <v>977</v>
      </c>
      <c r="B238" s="5">
        <v>46046</v>
      </c>
      <c r="C238" t="s">
        <v>20</v>
      </c>
      <c r="D238" t="s">
        <v>29</v>
      </c>
      <c r="E238" t="s">
        <v>37</v>
      </c>
      <c r="F238" t="s">
        <v>45</v>
      </c>
      <c r="G238" t="s">
        <v>739</v>
      </c>
      <c r="H238" t="s">
        <v>731</v>
      </c>
      <c r="I238" t="s">
        <v>735</v>
      </c>
      <c r="J238">
        <v>2</v>
      </c>
      <c r="K238">
        <v>1</v>
      </c>
      <c r="L238" t="s">
        <v>745</v>
      </c>
      <c r="M238" s="8">
        <v>1189489</v>
      </c>
      <c r="N238">
        <v>62</v>
      </c>
      <c r="O238">
        <v>12</v>
      </c>
      <c r="P238">
        <f t="shared" si="12"/>
        <v>12</v>
      </c>
      <c r="Q238" t="str">
        <f t="shared" si="13"/>
        <v>Review Required</v>
      </c>
      <c r="R238" t="str">
        <f t="shared" si="14"/>
        <v>Yes</v>
      </c>
      <c r="S238" t="str">
        <f t="shared" si="15"/>
        <v>Review defect trend and containment</v>
      </c>
    </row>
    <row r="239" spans="1:19" x14ac:dyDescent="0.35">
      <c r="A239" t="s">
        <v>978</v>
      </c>
      <c r="B239" s="5">
        <v>46265</v>
      </c>
      <c r="C239" t="s">
        <v>23</v>
      </c>
      <c r="D239" t="s">
        <v>30</v>
      </c>
      <c r="E239" t="s">
        <v>38</v>
      </c>
      <c r="F239" t="s">
        <v>47</v>
      </c>
      <c r="G239" t="s">
        <v>742</v>
      </c>
      <c r="H239" t="s">
        <v>96</v>
      </c>
      <c r="I239" t="s">
        <v>732</v>
      </c>
      <c r="J239">
        <v>2</v>
      </c>
      <c r="K239">
        <v>4</v>
      </c>
      <c r="L239" t="s">
        <v>743</v>
      </c>
      <c r="M239" s="8">
        <v>797964</v>
      </c>
      <c r="N239">
        <v>68</v>
      </c>
      <c r="O239">
        <v>12</v>
      </c>
      <c r="P239">
        <f t="shared" si="12"/>
        <v>10</v>
      </c>
      <c r="Q239" t="str">
        <f t="shared" si="13"/>
        <v>Approaching Review</v>
      </c>
      <c r="R239" t="str">
        <f t="shared" si="14"/>
        <v>No</v>
      </c>
      <c r="S239" t="str">
        <f t="shared" si="15"/>
        <v>Continue monitoring</v>
      </c>
    </row>
    <row r="240" spans="1:19" x14ac:dyDescent="0.35">
      <c r="A240" t="s">
        <v>979</v>
      </c>
      <c r="B240" s="5">
        <v>46233</v>
      </c>
      <c r="C240" t="s">
        <v>22</v>
      </c>
      <c r="D240" t="s">
        <v>29</v>
      </c>
      <c r="E240" t="s">
        <v>37</v>
      </c>
      <c r="F240" t="s">
        <v>45</v>
      </c>
      <c r="G240" t="s">
        <v>742</v>
      </c>
      <c r="H240" t="s">
        <v>731</v>
      </c>
      <c r="I240" t="s">
        <v>747</v>
      </c>
      <c r="J240">
        <v>5</v>
      </c>
      <c r="K240">
        <v>5</v>
      </c>
      <c r="L240" t="s">
        <v>736</v>
      </c>
      <c r="M240" s="8">
        <v>1512550</v>
      </c>
      <c r="N240">
        <v>63</v>
      </c>
      <c r="O240">
        <v>12</v>
      </c>
      <c r="P240">
        <f t="shared" si="12"/>
        <v>27</v>
      </c>
      <c r="Q240" t="str">
        <f t="shared" si="13"/>
        <v>Review Required</v>
      </c>
      <c r="R240" t="str">
        <f t="shared" si="14"/>
        <v>Yes</v>
      </c>
      <c r="S240" t="str">
        <f t="shared" si="15"/>
        <v>Continue monitoring</v>
      </c>
    </row>
    <row r="241" spans="1:19" x14ac:dyDescent="0.35">
      <c r="A241" t="s">
        <v>980</v>
      </c>
      <c r="B241" s="5">
        <v>46183</v>
      </c>
      <c r="C241" t="s">
        <v>23</v>
      </c>
      <c r="D241" t="s">
        <v>27</v>
      </c>
      <c r="E241" t="s">
        <v>36</v>
      </c>
      <c r="F241" t="s">
        <v>47</v>
      </c>
      <c r="G241" t="s">
        <v>730</v>
      </c>
      <c r="H241" t="s">
        <v>731</v>
      </c>
      <c r="I241" t="s">
        <v>732</v>
      </c>
      <c r="J241">
        <v>4</v>
      </c>
      <c r="K241">
        <v>1</v>
      </c>
      <c r="L241" t="s">
        <v>733</v>
      </c>
      <c r="M241" s="8">
        <v>998812</v>
      </c>
      <c r="N241">
        <v>71</v>
      </c>
      <c r="O241">
        <v>12</v>
      </c>
      <c r="P241">
        <f t="shared" si="12"/>
        <v>4</v>
      </c>
      <c r="Q241" t="str">
        <f t="shared" si="13"/>
        <v>Monitor</v>
      </c>
      <c r="R241" t="str">
        <f t="shared" si="14"/>
        <v>No</v>
      </c>
      <c r="S241" t="str">
        <f t="shared" si="15"/>
        <v>Continue monitoring</v>
      </c>
    </row>
  </sheetData>
  <conditionalFormatting sqref="Q2:Q241">
    <cfRule type="expression" dxfId="1" priority="1">
      <formula>$Q2="Review Required"</formula>
    </cfRule>
    <cfRule type="expression" dxfId="0" priority="2">
      <formula>$Q2="Approaching Review"</formula>
    </cfRule>
  </conditionalFormatting>
  <pageMargins left="0.75" right="0.75" top="1" bottom="1" header="0.5" footer="0.5"/>
  <pageSetup fitToHeight="0"/>
  <headerFooter>
    <oddHeader>&amp;CFord-relevant fictional training workbook</oddHeader>
    <oddFooter>&amp;CSynthetic data only — not operational data</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41"/>
  <sheetViews>
    <sheetView showGridLines="0" workbookViewId="0"/>
  </sheetViews>
  <sheetFormatPr defaultRowHeight="14.5" x14ac:dyDescent="0.35"/>
  <cols>
    <col min="1" max="1" width="14" customWidth="1"/>
    <col min="2" max="2" width="16" customWidth="1"/>
    <col min="3" max="3" width="17" customWidth="1"/>
    <col min="4" max="4" width="12" customWidth="1"/>
    <col min="5" max="6" width="14" customWidth="1"/>
    <col min="7" max="8" width="18" customWidth="1"/>
  </cols>
  <sheetData>
    <row r="1" spans="1:8" x14ac:dyDescent="0.35">
      <c r="A1" s="1" t="s">
        <v>50</v>
      </c>
      <c r="B1" s="1" t="s">
        <v>54</v>
      </c>
      <c r="C1" s="1" t="s">
        <v>55</v>
      </c>
      <c r="D1" s="1" t="s">
        <v>56</v>
      </c>
      <c r="E1" s="1" t="s">
        <v>69</v>
      </c>
      <c r="F1" s="1" t="s">
        <v>70</v>
      </c>
      <c r="G1" s="1" t="s">
        <v>60</v>
      </c>
      <c r="H1" s="1" t="s">
        <v>981</v>
      </c>
    </row>
    <row r="2" spans="1:8" x14ac:dyDescent="0.35">
      <c r="A2" s="5">
        <v>46027</v>
      </c>
      <c r="B2">
        <f>SUMIFS('Operations Data'!$J:$J,'Operations Data'!$B:$B,A2)</f>
        <v>17886</v>
      </c>
      <c r="C2">
        <f>SUMIFS('Operations Data'!$K:$K,'Operations Data'!$B:$B,A2)</f>
        <v>17157</v>
      </c>
      <c r="D2">
        <f>SUMIFS('Operations Data'!$L:$L,'Operations Data'!$B:$B,A2)</f>
        <v>418</v>
      </c>
      <c r="E2" s="7">
        <f t="shared" ref="E2:E41" si="0">IFERROR(D2/C2,0)</f>
        <v>2.4363233665559248E-2</v>
      </c>
      <c r="F2" s="7">
        <f>IFERROR(SUMIFS('Operations Data'!$N:$N,'Operations Data'!$B:$B,A2)/C2,0)</f>
        <v>0.94352159468438535</v>
      </c>
      <c r="G2">
        <f>SUMIFS('Operations Data'!$P:$P,'Operations Data'!$B:$B,A2)</f>
        <v>104.30000000000001</v>
      </c>
      <c r="H2">
        <f>COUNTIFS('Operations Data'!$B:$B,A2,'Operations Data'!$AD:$AD,"High")</f>
        <v>2</v>
      </c>
    </row>
    <row r="3" spans="1:8" x14ac:dyDescent="0.35">
      <c r="A3" s="5">
        <v>46034</v>
      </c>
      <c r="B3">
        <f>SUMIFS('Operations Data'!$J:$J,'Operations Data'!$B:$B,A3)</f>
        <v>17032</v>
      </c>
      <c r="C3">
        <f>SUMIFS('Operations Data'!$K:$K,'Operations Data'!$B:$B,A3)</f>
        <v>16713</v>
      </c>
      <c r="D3">
        <f>SUMIFS('Operations Data'!$L:$L,'Operations Data'!$B:$B,A3)</f>
        <v>393</v>
      </c>
      <c r="E3" s="7">
        <f t="shared" si="0"/>
        <v>2.3514629330461317E-2</v>
      </c>
      <c r="F3" s="7">
        <f>IFERROR(SUMIFS('Operations Data'!$N:$N,'Operations Data'!$B:$B,A3)/C3,0)</f>
        <v>0.94453419493807211</v>
      </c>
      <c r="G3">
        <f>SUMIFS('Operations Data'!$P:$P,'Operations Data'!$B:$B,A3)</f>
        <v>72.2</v>
      </c>
      <c r="H3">
        <f>COUNTIFS('Operations Data'!$B:$B,A3,'Operations Data'!$AD:$AD,"High")</f>
        <v>1</v>
      </c>
    </row>
    <row r="4" spans="1:8" x14ac:dyDescent="0.35">
      <c r="A4" s="5">
        <v>46041</v>
      </c>
      <c r="B4">
        <f>SUMIFS('Operations Data'!$J:$J,'Operations Data'!$B:$B,A4)</f>
        <v>17442</v>
      </c>
      <c r="C4">
        <f>SUMIFS('Operations Data'!$K:$K,'Operations Data'!$B:$B,A4)</f>
        <v>17293</v>
      </c>
      <c r="D4">
        <f>SUMIFS('Operations Data'!$L:$L,'Operations Data'!$B:$B,A4)</f>
        <v>474</v>
      </c>
      <c r="E4" s="7">
        <f t="shared" si="0"/>
        <v>2.7409934655641011E-2</v>
      </c>
      <c r="F4" s="7">
        <f>IFERROR(SUMIFS('Operations Data'!$N:$N,'Operations Data'!$B:$B,A4)/C4,0)</f>
        <v>0.95425894870756955</v>
      </c>
      <c r="G4">
        <f>SUMIFS('Operations Data'!$P:$P,'Operations Data'!$B:$B,A4)</f>
        <v>106.79999999999998</v>
      </c>
      <c r="H4">
        <f>COUNTIFS('Operations Data'!$B:$B,A4,'Operations Data'!$AD:$AD,"High")</f>
        <v>1</v>
      </c>
    </row>
    <row r="5" spans="1:8" x14ac:dyDescent="0.35">
      <c r="A5" s="5">
        <v>46048</v>
      </c>
      <c r="B5">
        <f>SUMIFS('Operations Data'!$J:$J,'Operations Data'!$B:$B,A5)</f>
        <v>18359</v>
      </c>
      <c r="C5">
        <f>SUMIFS('Operations Data'!$K:$K,'Operations Data'!$B:$B,A5)</f>
        <v>18227</v>
      </c>
      <c r="D5">
        <f>SUMIFS('Operations Data'!$L:$L,'Operations Data'!$B:$B,A5)</f>
        <v>428</v>
      </c>
      <c r="E5" s="7">
        <f t="shared" si="0"/>
        <v>2.3481648104460417E-2</v>
      </c>
      <c r="F5" s="7">
        <f>IFERROR(SUMIFS('Operations Data'!$N:$N,'Operations Data'!$B:$B,A5)/C5,0)</f>
        <v>0.94963515663576015</v>
      </c>
      <c r="G5">
        <f>SUMIFS('Operations Data'!$P:$P,'Operations Data'!$B:$B,A5)</f>
        <v>105.80000000000001</v>
      </c>
      <c r="H5">
        <f>COUNTIFS('Operations Data'!$B:$B,A5,'Operations Data'!$AD:$AD,"High")</f>
        <v>0</v>
      </c>
    </row>
    <row r="6" spans="1:8" x14ac:dyDescent="0.35">
      <c r="A6" s="5">
        <v>46055</v>
      </c>
      <c r="B6">
        <f>SUMIFS('Operations Data'!$J:$J,'Operations Data'!$B:$B,A6)</f>
        <v>16964</v>
      </c>
      <c r="C6">
        <f>SUMIFS('Operations Data'!$K:$K,'Operations Data'!$B:$B,A6)</f>
        <v>16955</v>
      </c>
      <c r="D6">
        <f>SUMIFS('Operations Data'!$L:$L,'Operations Data'!$B:$B,A6)</f>
        <v>383</v>
      </c>
      <c r="E6" s="7">
        <f t="shared" si="0"/>
        <v>2.2589206723680332E-2</v>
      </c>
      <c r="F6" s="7">
        <f>IFERROR(SUMIFS('Operations Data'!$N:$N,'Operations Data'!$B:$B,A6)/C6,0)</f>
        <v>0.95924506045414337</v>
      </c>
      <c r="G6">
        <f>SUMIFS('Operations Data'!$P:$P,'Operations Data'!$B:$B,A6)</f>
        <v>115.7</v>
      </c>
      <c r="H6">
        <f>COUNTIFS('Operations Data'!$B:$B,A6,'Operations Data'!$AD:$AD,"High")</f>
        <v>0</v>
      </c>
    </row>
    <row r="7" spans="1:8" x14ac:dyDescent="0.35">
      <c r="A7" s="5">
        <v>46062</v>
      </c>
      <c r="B7">
        <f>SUMIFS('Operations Data'!$J:$J,'Operations Data'!$B:$B,A7)</f>
        <v>16896</v>
      </c>
      <c r="C7">
        <f>SUMIFS('Operations Data'!$K:$K,'Operations Data'!$B:$B,A7)</f>
        <v>17162</v>
      </c>
      <c r="D7">
        <f>SUMIFS('Operations Data'!$L:$L,'Operations Data'!$B:$B,A7)</f>
        <v>391</v>
      </c>
      <c r="E7" s="7">
        <f t="shared" si="0"/>
        <v>2.2782892436778931E-2</v>
      </c>
      <c r="F7" s="7">
        <f>IFERROR(SUMIFS('Operations Data'!$N:$N,'Operations Data'!$B:$B,A7)/C7,0)</f>
        <v>0.92087169327584195</v>
      </c>
      <c r="G7">
        <f>SUMIFS('Operations Data'!$P:$P,'Operations Data'!$B:$B,A7)</f>
        <v>135.6</v>
      </c>
      <c r="H7">
        <f>COUNTIFS('Operations Data'!$B:$B,A7,'Operations Data'!$AD:$AD,"High")</f>
        <v>1</v>
      </c>
    </row>
    <row r="8" spans="1:8" x14ac:dyDescent="0.35">
      <c r="A8" s="5">
        <v>46069</v>
      </c>
      <c r="B8">
        <f>SUMIFS('Operations Data'!$J:$J,'Operations Data'!$B:$B,A8)</f>
        <v>18066</v>
      </c>
      <c r="C8">
        <f>SUMIFS('Operations Data'!$K:$K,'Operations Data'!$B:$B,A8)</f>
        <v>18035</v>
      </c>
      <c r="D8">
        <f>SUMIFS('Operations Data'!$L:$L,'Operations Data'!$B:$B,A8)</f>
        <v>444</v>
      </c>
      <c r="E8" s="7">
        <f t="shared" si="0"/>
        <v>2.461879678403105E-2</v>
      </c>
      <c r="F8" s="7">
        <f>IFERROR(SUMIFS('Operations Data'!$N:$N,'Operations Data'!$B:$B,A8)/C8,0)</f>
        <v>0.95542001663432219</v>
      </c>
      <c r="G8">
        <f>SUMIFS('Operations Data'!$P:$P,'Operations Data'!$B:$B,A8)</f>
        <v>150.19999999999999</v>
      </c>
      <c r="H8">
        <f>COUNTIFS('Operations Data'!$B:$B,A8,'Operations Data'!$AD:$AD,"High")</f>
        <v>0</v>
      </c>
    </row>
    <row r="9" spans="1:8" x14ac:dyDescent="0.35">
      <c r="A9" s="5">
        <v>46076</v>
      </c>
      <c r="B9">
        <f>SUMIFS('Operations Data'!$J:$J,'Operations Data'!$B:$B,A9)</f>
        <v>20084</v>
      </c>
      <c r="C9">
        <f>SUMIFS('Operations Data'!$K:$K,'Operations Data'!$B:$B,A9)</f>
        <v>19898</v>
      </c>
      <c r="D9">
        <f>SUMIFS('Operations Data'!$L:$L,'Operations Data'!$B:$B,A9)</f>
        <v>599</v>
      </c>
      <c r="E9" s="7">
        <f t="shared" si="0"/>
        <v>3.0103527992763092E-2</v>
      </c>
      <c r="F9" s="7">
        <f>IFERROR(SUMIFS('Operations Data'!$N:$N,'Operations Data'!$B:$B,A9)/C9,0)</f>
        <v>0.93456628806915265</v>
      </c>
      <c r="G9">
        <f>SUMIFS('Operations Data'!$P:$P,'Operations Data'!$B:$B,A9)</f>
        <v>116.2</v>
      </c>
      <c r="H9">
        <f>COUNTIFS('Operations Data'!$B:$B,A9,'Operations Data'!$AD:$AD,"High")</f>
        <v>0</v>
      </c>
    </row>
    <row r="10" spans="1:8" x14ac:dyDescent="0.35">
      <c r="A10" s="5">
        <v>46083</v>
      </c>
      <c r="B10">
        <f>SUMIFS('Operations Data'!$J:$J,'Operations Data'!$B:$B,A10)</f>
        <v>16163</v>
      </c>
      <c r="C10">
        <f>SUMIFS('Operations Data'!$K:$K,'Operations Data'!$B:$B,A10)</f>
        <v>16068</v>
      </c>
      <c r="D10">
        <f>SUMIFS('Operations Data'!$L:$L,'Operations Data'!$B:$B,A10)</f>
        <v>399</v>
      </c>
      <c r="E10" s="7">
        <f t="shared" si="0"/>
        <v>2.48319641523525E-2</v>
      </c>
      <c r="F10" s="7">
        <f>IFERROR(SUMIFS('Operations Data'!$N:$N,'Operations Data'!$B:$B,A10)/C10,0)</f>
        <v>0.9286781179985063</v>
      </c>
      <c r="G10">
        <f>SUMIFS('Operations Data'!$P:$P,'Operations Data'!$B:$B,A10)</f>
        <v>159.19999999999996</v>
      </c>
      <c r="H10">
        <f>COUNTIFS('Operations Data'!$B:$B,A10,'Operations Data'!$AD:$AD,"High")</f>
        <v>1</v>
      </c>
    </row>
    <row r="11" spans="1:8" x14ac:dyDescent="0.35">
      <c r="A11" s="5">
        <v>46090</v>
      </c>
      <c r="B11">
        <f>SUMIFS('Operations Data'!$J:$J,'Operations Data'!$B:$B,A11)</f>
        <v>16651</v>
      </c>
      <c r="C11">
        <f>SUMIFS('Operations Data'!$K:$K,'Operations Data'!$B:$B,A11)</f>
        <v>15955</v>
      </c>
      <c r="D11">
        <f>SUMIFS('Operations Data'!$L:$L,'Operations Data'!$B:$B,A11)</f>
        <v>348</v>
      </c>
      <c r="E11" s="7">
        <f t="shared" si="0"/>
        <v>2.1811344406142276E-2</v>
      </c>
      <c r="F11" s="7">
        <f>IFERROR(SUMIFS('Operations Data'!$N:$N,'Operations Data'!$B:$B,A11)/C11,0)</f>
        <v>0.94628643058602324</v>
      </c>
      <c r="G11">
        <f>SUMIFS('Operations Data'!$P:$P,'Operations Data'!$B:$B,A11)</f>
        <v>123.60000000000001</v>
      </c>
      <c r="H11">
        <f>COUNTIFS('Operations Data'!$B:$B,A11,'Operations Data'!$AD:$AD,"High")</f>
        <v>0</v>
      </c>
    </row>
    <row r="12" spans="1:8" x14ac:dyDescent="0.35">
      <c r="A12" s="5">
        <v>46097</v>
      </c>
      <c r="B12">
        <f>SUMIFS('Operations Data'!$J:$J,'Operations Data'!$B:$B,A12)</f>
        <v>18238</v>
      </c>
      <c r="C12">
        <f>SUMIFS('Operations Data'!$K:$K,'Operations Data'!$B:$B,A12)</f>
        <v>17238</v>
      </c>
      <c r="D12">
        <f>SUMIFS('Operations Data'!$L:$L,'Operations Data'!$B:$B,A12)</f>
        <v>424</v>
      </c>
      <c r="E12" s="7">
        <f t="shared" si="0"/>
        <v>2.4596820976911474E-2</v>
      </c>
      <c r="F12" s="7">
        <f>IFERROR(SUMIFS('Operations Data'!$N:$N,'Operations Data'!$B:$B,A12)/C12,0)</f>
        <v>0.929748230653208</v>
      </c>
      <c r="G12">
        <f>SUMIFS('Operations Data'!$P:$P,'Operations Data'!$B:$B,A12)</f>
        <v>106.90000000000002</v>
      </c>
      <c r="H12">
        <f>COUNTIFS('Operations Data'!$B:$B,A12,'Operations Data'!$AD:$AD,"High")</f>
        <v>0</v>
      </c>
    </row>
    <row r="13" spans="1:8" x14ac:dyDescent="0.35">
      <c r="A13" s="5">
        <v>46104</v>
      </c>
      <c r="B13">
        <f>SUMIFS('Operations Data'!$J:$J,'Operations Data'!$B:$B,A13)</f>
        <v>17831</v>
      </c>
      <c r="C13">
        <f>SUMIFS('Operations Data'!$K:$K,'Operations Data'!$B:$B,A13)</f>
        <v>16673</v>
      </c>
      <c r="D13">
        <f>SUMIFS('Operations Data'!$L:$L,'Operations Data'!$B:$B,A13)</f>
        <v>404</v>
      </c>
      <c r="E13" s="7">
        <f t="shared" si="0"/>
        <v>2.4230792298926409E-2</v>
      </c>
      <c r="F13" s="7">
        <f>IFERROR(SUMIFS('Operations Data'!$N:$N,'Operations Data'!$B:$B,A13)/C13,0)</f>
        <v>0.93894320158339828</v>
      </c>
      <c r="G13">
        <f>SUMIFS('Operations Data'!$P:$P,'Operations Data'!$B:$B,A13)</f>
        <v>91.9</v>
      </c>
      <c r="H13">
        <f>COUNTIFS('Operations Data'!$B:$B,A13,'Operations Data'!$AD:$AD,"High")</f>
        <v>2</v>
      </c>
    </row>
    <row r="14" spans="1:8" x14ac:dyDescent="0.35">
      <c r="A14" s="5">
        <v>46111</v>
      </c>
      <c r="B14">
        <f>SUMIFS('Operations Data'!$J:$J,'Operations Data'!$B:$B,A14)</f>
        <v>17512</v>
      </c>
      <c r="C14">
        <f>SUMIFS('Operations Data'!$K:$K,'Operations Data'!$B:$B,A14)</f>
        <v>16148</v>
      </c>
      <c r="D14">
        <f>SUMIFS('Operations Data'!$L:$L,'Operations Data'!$B:$B,A14)</f>
        <v>365</v>
      </c>
      <c r="E14" s="7">
        <f t="shared" si="0"/>
        <v>2.2603418379985137E-2</v>
      </c>
      <c r="F14" s="7">
        <f>IFERROR(SUMIFS('Operations Data'!$N:$N,'Operations Data'!$B:$B,A14)/C14,0)</f>
        <v>0.94661877631904878</v>
      </c>
      <c r="G14">
        <f>SUMIFS('Operations Data'!$P:$P,'Operations Data'!$B:$B,A14)</f>
        <v>121.50000000000001</v>
      </c>
      <c r="H14">
        <f>COUNTIFS('Operations Data'!$B:$B,A14,'Operations Data'!$AD:$AD,"High")</f>
        <v>2</v>
      </c>
    </row>
    <row r="15" spans="1:8" x14ac:dyDescent="0.35">
      <c r="A15" s="5">
        <v>46118</v>
      </c>
      <c r="B15">
        <f>SUMIFS('Operations Data'!$J:$J,'Operations Data'!$B:$B,A15)</f>
        <v>17802</v>
      </c>
      <c r="C15">
        <f>SUMIFS('Operations Data'!$K:$K,'Operations Data'!$B:$B,A15)</f>
        <v>16699</v>
      </c>
      <c r="D15">
        <f>SUMIFS('Operations Data'!$L:$L,'Operations Data'!$B:$B,A15)</f>
        <v>831</v>
      </c>
      <c r="E15" s="7">
        <f t="shared" si="0"/>
        <v>4.9763458889753878E-2</v>
      </c>
      <c r="F15" s="7">
        <f>IFERROR(SUMIFS('Operations Data'!$N:$N,'Operations Data'!$B:$B,A15)/C15,0)</f>
        <v>0.94424815857236966</v>
      </c>
      <c r="G15">
        <f>SUMIFS('Operations Data'!$P:$P,'Operations Data'!$B:$B,A15)</f>
        <v>219.79999999999998</v>
      </c>
      <c r="H15">
        <f>COUNTIFS('Operations Data'!$B:$B,A15,'Operations Data'!$AD:$AD,"High")</f>
        <v>1</v>
      </c>
    </row>
    <row r="16" spans="1:8" x14ac:dyDescent="0.35">
      <c r="A16" s="5">
        <v>46125</v>
      </c>
      <c r="B16">
        <f>SUMIFS('Operations Data'!$J:$J,'Operations Data'!$B:$B,A16)</f>
        <v>16239</v>
      </c>
      <c r="C16">
        <f>SUMIFS('Operations Data'!$K:$K,'Operations Data'!$B:$B,A16)</f>
        <v>14568</v>
      </c>
      <c r="D16">
        <f>SUMIFS('Operations Data'!$L:$L,'Operations Data'!$B:$B,A16)</f>
        <v>385</v>
      </c>
      <c r="E16" s="7">
        <f t="shared" si="0"/>
        <v>2.6427786930258101E-2</v>
      </c>
      <c r="F16" s="7">
        <f>IFERROR(SUMIFS('Operations Data'!$N:$N,'Operations Data'!$B:$B,A16)/C16,0)</f>
        <v>0.95757825370675453</v>
      </c>
      <c r="G16">
        <f>SUMIFS('Operations Data'!$P:$P,'Operations Data'!$B:$B,A16)</f>
        <v>153.5</v>
      </c>
      <c r="H16">
        <f>COUNTIFS('Operations Data'!$B:$B,A16,'Operations Data'!$AD:$AD,"High")</f>
        <v>1</v>
      </c>
    </row>
    <row r="17" spans="1:8" x14ac:dyDescent="0.35">
      <c r="A17" s="5">
        <v>46132</v>
      </c>
      <c r="B17">
        <f>SUMIFS('Operations Data'!$J:$J,'Operations Data'!$B:$B,A17)</f>
        <v>18095</v>
      </c>
      <c r="C17">
        <f>SUMIFS('Operations Data'!$K:$K,'Operations Data'!$B:$B,A17)</f>
        <v>16643</v>
      </c>
      <c r="D17">
        <f>SUMIFS('Operations Data'!$L:$L,'Operations Data'!$B:$B,A17)</f>
        <v>392</v>
      </c>
      <c r="E17" s="7">
        <f t="shared" si="0"/>
        <v>2.3553445893168299E-2</v>
      </c>
      <c r="F17" s="7">
        <f>IFERROR(SUMIFS('Operations Data'!$N:$N,'Operations Data'!$B:$B,A17)/C17,0)</f>
        <v>0.94075587334014299</v>
      </c>
      <c r="G17">
        <f>SUMIFS('Operations Data'!$P:$P,'Operations Data'!$B:$B,A17)</f>
        <v>121.39999999999998</v>
      </c>
      <c r="H17">
        <f>COUNTIFS('Operations Data'!$B:$B,A17,'Operations Data'!$AD:$AD,"High")</f>
        <v>2</v>
      </c>
    </row>
    <row r="18" spans="1:8" x14ac:dyDescent="0.35">
      <c r="A18" s="5">
        <v>46139</v>
      </c>
      <c r="B18">
        <f>SUMIFS('Operations Data'!$J:$J,'Operations Data'!$B:$B,A18)</f>
        <v>18464</v>
      </c>
      <c r="C18">
        <f>SUMIFS('Operations Data'!$K:$K,'Operations Data'!$B:$B,A18)</f>
        <v>17054</v>
      </c>
      <c r="D18">
        <f>SUMIFS('Operations Data'!$L:$L,'Operations Data'!$B:$B,A18)</f>
        <v>490</v>
      </c>
      <c r="E18" s="7">
        <f t="shared" si="0"/>
        <v>2.8732262225870765E-2</v>
      </c>
      <c r="F18" s="7">
        <f>IFERROR(SUMIFS('Operations Data'!$N:$N,'Operations Data'!$B:$B,A18)/C18,0)</f>
        <v>0.94417731910402247</v>
      </c>
      <c r="G18">
        <f>SUMIFS('Operations Data'!$P:$P,'Operations Data'!$B:$B,A18)</f>
        <v>131.9</v>
      </c>
      <c r="H18">
        <f>COUNTIFS('Operations Data'!$B:$B,A18,'Operations Data'!$AD:$AD,"High")</f>
        <v>2</v>
      </c>
    </row>
    <row r="19" spans="1:8" x14ac:dyDescent="0.35">
      <c r="A19" s="5">
        <v>46146</v>
      </c>
      <c r="B19">
        <f>SUMIFS('Operations Data'!$J:$J,'Operations Data'!$B:$B,A19)</f>
        <v>17998</v>
      </c>
      <c r="C19">
        <f>SUMIFS('Operations Data'!$K:$K,'Operations Data'!$B:$B,A19)</f>
        <v>16615</v>
      </c>
      <c r="D19">
        <f>SUMIFS('Operations Data'!$L:$L,'Operations Data'!$B:$B,A19)</f>
        <v>423</v>
      </c>
      <c r="E19" s="7">
        <f t="shared" si="0"/>
        <v>2.5458922660246765E-2</v>
      </c>
      <c r="F19" s="7">
        <f>IFERROR(SUMIFS('Operations Data'!$N:$N,'Operations Data'!$B:$B,A19)/C19,0)</f>
        <v>0.94282275052663256</v>
      </c>
      <c r="G19">
        <f>SUMIFS('Operations Data'!$P:$P,'Operations Data'!$B:$B,A19)</f>
        <v>155.20000000000002</v>
      </c>
      <c r="H19">
        <f>COUNTIFS('Operations Data'!$B:$B,A19,'Operations Data'!$AD:$AD,"High")</f>
        <v>1</v>
      </c>
    </row>
    <row r="20" spans="1:8" x14ac:dyDescent="0.35">
      <c r="A20" s="5">
        <v>46153</v>
      </c>
      <c r="B20">
        <f>SUMIFS('Operations Data'!$J:$J,'Operations Data'!$B:$B,A20)</f>
        <v>17107</v>
      </c>
      <c r="C20">
        <f>SUMIFS('Operations Data'!$K:$K,'Operations Data'!$B:$B,A20)</f>
        <v>16201</v>
      </c>
      <c r="D20">
        <f>SUMIFS('Operations Data'!$L:$L,'Operations Data'!$B:$B,A20)</f>
        <v>349</v>
      </c>
      <c r="E20" s="7">
        <f t="shared" si="0"/>
        <v>2.154188013085612E-2</v>
      </c>
      <c r="F20" s="7">
        <f>IFERROR(SUMIFS('Operations Data'!$N:$N,'Operations Data'!$B:$B,A20)/C20,0)</f>
        <v>0.94444787358805016</v>
      </c>
      <c r="G20">
        <f>SUMIFS('Operations Data'!$P:$P,'Operations Data'!$B:$B,A20)</f>
        <v>122.6</v>
      </c>
      <c r="H20">
        <f>COUNTIFS('Operations Data'!$B:$B,A20,'Operations Data'!$AD:$AD,"High")</f>
        <v>0</v>
      </c>
    </row>
    <row r="21" spans="1:8" x14ac:dyDescent="0.35">
      <c r="A21" s="5">
        <v>46160</v>
      </c>
      <c r="B21">
        <f>SUMIFS('Operations Data'!$J:$J,'Operations Data'!$B:$B,A21)</f>
        <v>18094</v>
      </c>
      <c r="C21">
        <f>SUMIFS('Operations Data'!$K:$K,'Operations Data'!$B:$B,A21)</f>
        <v>17249</v>
      </c>
      <c r="D21">
        <f>SUMIFS('Operations Data'!$L:$L,'Operations Data'!$B:$B,A21)</f>
        <v>420</v>
      </c>
      <c r="E21" s="7">
        <f t="shared" si="0"/>
        <v>2.4349237636964463E-2</v>
      </c>
      <c r="F21" s="7">
        <f>IFERROR(SUMIFS('Operations Data'!$N:$N,'Operations Data'!$B:$B,A21)/C21,0)</f>
        <v>0.94393877905965562</v>
      </c>
      <c r="G21">
        <f>SUMIFS('Operations Data'!$P:$P,'Operations Data'!$B:$B,A21)</f>
        <v>149.5</v>
      </c>
      <c r="H21">
        <f>COUNTIFS('Operations Data'!$B:$B,A21,'Operations Data'!$AD:$AD,"High")</f>
        <v>1</v>
      </c>
    </row>
    <row r="22" spans="1:8" x14ac:dyDescent="0.35">
      <c r="A22" s="5">
        <v>46167</v>
      </c>
      <c r="B22">
        <f>SUMIFS('Operations Data'!$J:$J,'Operations Data'!$B:$B,A22)</f>
        <v>17155</v>
      </c>
      <c r="C22">
        <f>SUMIFS('Operations Data'!$K:$K,'Operations Data'!$B:$B,A22)</f>
        <v>16706</v>
      </c>
      <c r="D22">
        <f>SUMIFS('Operations Data'!$L:$L,'Operations Data'!$B:$B,A22)</f>
        <v>350</v>
      </c>
      <c r="E22" s="7">
        <f t="shared" si="0"/>
        <v>2.095055668622052E-2</v>
      </c>
      <c r="F22" s="7">
        <f>IFERROR(SUMIFS('Operations Data'!$N:$N,'Operations Data'!$B:$B,A22)/C22,0)</f>
        <v>0.95726086436011015</v>
      </c>
      <c r="G22">
        <f>SUMIFS('Operations Data'!$P:$P,'Operations Data'!$B:$B,A22)</f>
        <v>111.4</v>
      </c>
      <c r="H22">
        <f>COUNTIFS('Operations Data'!$B:$B,A22,'Operations Data'!$AD:$AD,"High")</f>
        <v>0</v>
      </c>
    </row>
    <row r="23" spans="1:8" x14ac:dyDescent="0.35">
      <c r="A23" s="5">
        <v>46174</v>
      </c>
      <c r="B23">
        <f>SUMIFS('Operations Data'!$J:$J,'Operations Data'!$B:$B,A23)</f>
        <v>16198</v>
      </c>
      <c r="C23">
        <f>SUMIFS('Operations Data'!$K:$K,'Operations Data'!$B:$B,A23)</f>
        <v>15625</v>
      </c>
      <c r="D23">
        <f>SUMIFS('Operations Data'!$L:$L,'Operations Data'!$B:$B,A23)</f>
        <v>369</v>
      </c>
      <c r="E23" s="7">
        <f t="shared" si="0"/>
        <v>2.3616000000000002E-2</v>
      </c>
      <c r="F23" s="7">
        <f>IFERROR(SUMIFS('Operations Data'!$N:$N,'Operations Data'!$B:$B,A23)/C23,0)</f>
        <v>0.939392</v>
      </c>
      <c r="G23">
        <f>SUMIFS('Operations Data'!$P:$P,'Operations Data'!$B:$B,A23)</f>
        <v>99.5</v>
      </c>
      <c r="H23">
        <f>COUNTIFS('Operations Data'!$B:$B,A23,'Operations Data'!$AD:$AD,"High")</f>
        <v>0</v>
      </c>
    </row>
    <row r="24" spans="1:8" x14ac:dyDescent="0.35">
      <c r="A24" s="5">
        <v>46181</v>
      </c>
      <c r="B24">
        <f>SUMIFS('Operations Data'!$J:$J,'Operations Data'!$B:$B,A24)</f>
        <v>16720</v>
      </c>
      <c r="C24">
        <f>SUMIFS('Operations Data'!$K:$K,'Operations Data'!$B:$B,A24)</f>
        <v>16464</v>
      </c>
      <c r="D24">
        <f>SUMIFS('Operations Data'!$L:$L,'Operations Data'!$B:$B,A24)</f>
        <v>391</v>
      </c>
      <c r="E24" s="7">
        <f t="shared" si="0"/>
        <v>2.3748785228377065E-2</v>
      </c>
      <c r="F24" s="7">
        <f>IFERROR(SUMIFS('Operations Data'!$N:$N,'Operations Data'!$B:$B,A24)/C24,0)</f>
        <v>0.93549562682215748</v>
      </c>
      <c r="G24">
        <f>SUMIFS('Operations Data'!$P:$P,'Operations Data'!$B:$B,A24)</f>
        <v>104.49999999999999</v>
      </c>
      <c r="H24">
        <f>COUNTIFS('Operations Data'!$B:$B,A24,'Operations Data'!$AD:$AD,"High")</f>
        <v>1</v>
      </c>
    </row>
    <row r="25" spans="1:8" x14ac:dyDescent="0.35">
      <c r="A25" s="5">
        <v>46188</v>
      </c>
      <c r="B25">
        <f>SUMIFS('Operations Data'!$J:$J,'Operations Data'!$B:$B,A25)</f>
        <v>17042</v>
      </c>
      <c r="C25">
        <f>SUMIFS('Operations Data'!$K:$K,'Operations Data'!$B:$B,A25)</f>
        <v>16922</v>
      </c>
      <c r="D25">
        <f>SUMIFS('Operations Data'!$L:$L,'Operations Data'!$B:$B,A25)</f>
        <v>393</v>
      </c>
      <c r="E25" s="7">
        <f t="shared" si="0"/>
        <v>2.3224205176693061E-2</v>
      </c>
      <c r="F25" s="7">
        <f>IFERROR(SUMIFS('Operations Data'!$N:$N,'Operations Data'!$B:$B,A25)/C25,0)</f>
        <v>0.93233660323838785</v>
      </c>
      <c r="G25">
        <f>SUMIFS('Operations Data'!$P:$P,'Operations Data'!$B:$B,A25)</f>
        <v>120.49999999999999</v>
      </c>
      <c r="H25">
        <f>COUNTIFS('Operations Data'!$B:$B,A25,'Operations Data'!$AD:$AD,"High")</f>
        <v>1</v>
      </c>
    </row>
    <row r="26" spans="1:8" x14ac:dyDescent="0.35">
      <c r="A26" s="5">
        <v>46195</v>
      </c>
      <c r="B26">
        <f>SUMIFS('Operations Data'!$J:$J,'Operations Data'!$B:$B,A26)</f>
        <v>17239</v>
      </c>
      <c r="C26">
        <f>SUMIFS('Operations Data'!$K:$K,'Operations Data'!$B:$B,A26)</f>
        <v>17022</v>
      </c>
      <c r="D26">
        <f>SUMIFS('Operations Data'!$L:$L,'Operations Data'!$B:$B,A26)</f>
        <v>424</v>
      </c>
      <c r="E26" s="7">
        <f t="shared" si="0"/>
        <v>2.4908941369991774E-2</v>
      </c>
      <c r="F26" s="7">
        <f>IFERROR(SUMIFS('Operations Data'!$N:$N,'Operations Data'!$B:$B,A26)/C26,0)</f>
        <v>0.92427446833509574</v>
      </c>
      <c r="G26">
        <f>SUMIFS('Operations Data'!$P:$P,'Operations Data'!$B:$B,A26)</f>
        <v>112.1</v>
      </c>
      <c r="H26">
        <f>COUNTIFS('Operations Data'!$B:$B,A26,'Operations Data'!$AD:$AD,"High")</f>
        <v>1</v>
      </c>
    </row>
    <row r="27" spans="1:8" x14ac:dyDescent="0.35">
      <c r="A27" s="5">
        <v>46202</v>
      </c>
      <c r="B27">
        <f>SUMIFS('Operations Data'!$J:$J,'Operations Data'!$B:$B,A27)</f>
        <v>16521</v>
      </c>
      <c r="C27">
        <f>SUMIFS('Operations Data'!$K:$K,'Operations Data'!$B:$B,A27)</f>
        <v>16503</v>
      </c>
      <c r="D27">
        <f>SUMIFS('Operations Data'!$L:$L,'Operations Data'!$B:$B,A27)</f>
        <v>703</v>
      </c>
      <c r="E27" s="7">
        <f t="shared" si="0"/>
        <v>4.2598315457795549E-2</v>
      </c>
      <c r="F27" s="7">
        <f>IFERROR(SUMIFS('Operations Data'!$N:$N,'Operations Data'!$B:$B,A27)/C27,0)</f>
        <v>0.95503847785251161</v>
      </c>
      <c r="G27">
        <f>SUMIFS('Operations Data'!$P:$P,'Operations Data'!$B:$B,A27)</f>
        <v>192.99999999999997</v>
      </c>
      <c r="H27">
        <f>COUNTIFS('Operations Data'!$B:$B,A27,'Operations Data'!$AD:$AD,"High")</f>
        <v>1</v>
      </c>
    </row>
    <row r="28" spans="1:8" x14ac:dyDescent="0.35">
      <c r="A28" s="5">
        <v>46209</v>
      </c>
      <c r="B28">
        <f>SUMIFS('Operations Data'!$J:$J,'Operations Data'!$B:$B,A28)</f>
        <v>16916</v>
      </c>
      <c r="C28">
        <f>SUMIFS('Operations Data'!$K:$K,'Operations Data'!$B:$B,A28)</f>
        <v>16762</v>
      </c>
      <c r="D28">
        <f>SUMIFS('Operations Data'!$L:$L,'Operations Data'!$B:$B,A28)</f>
        <v>407</v>
      </c>
      <c r="E28" s="7">
        <f t="shared" si="0"/>
        <v>2.4281112039136143E-2</v>
      </c>
      <c r="F28" s="7">
        <f>IFERROR(SUMIFS('Operations Data'!$N:$N,'Operations Data'!$B:$B,A28)/C28,0)</f>
        <v>0.93676172294475601</v>
      </c>
      <c r="G28">
        <f>SUMIFS('Operations Data'!$P:$P,'Operations Data'!$B:$B,A28)</f>
        <v>106.39999999999999</v>
      </c>
      <c r="H28">
        <f>COUNTIFS('Operations Data'!$B:$B,A28,'Operations Data'!$AD:$AD,"High")</f>
        <v>3</v>
      </c>
    </row>
    <row r="29" spans="1:8" x14ac:dyDescent="0.35">
      <c r="A29" s="5">
        <v>46216</v>
      </c>
      <c r="B29">
        <f>SUMIFS('Operations Data'!$J:$J,'Operations Data'!$B:$B,A29)</f>
        <v>17303</v>
      </c>
      <c r="C29">
        <f>SUMIFS('Operations Data'!$K:$K,'Operations Data'!$B:$B,A29)</f>
        <v>16518</v>
      </c>
      <c r="D29">
        <f>SUMIFS('Operations Data'!$L:$L,'Operations Data'!$B:$B,A29)</f>
        <v>346</v>
      </c>
      <c r="E29" s="7">
        <f t="shared" si="0"/>
        <v>2.0946845865116841E-2</v>
      </c>
      <c r="F29" s="7">
        <f>IFERROR(SUMIFS('Operations Data'!$N:$N,'Operations Data'!$B:$B,A29)/C29,0)</f>
        <v>0.95513984743915725</v>
      </c>
      <c r="G29">
        <f>SUMIFS('Operations Data'!$P:$P,'Operations Data'!$B:$B,A29)</f>
        <v>148.20000000000002</v>
      </c>
      <c r="H29">
        <f>COUNTIFS('Operations Data'!$B:$B,A29,'Operations Data'!$AD:$AD,"High")</f>
        <v>0</v>
      </c>
    </row>
    <row r="30" spans="1:8" x14ac:dyDescent="0.35">
      <c r="A30" s="5">
        <v>46223</v>
      </c>
      <c r="B30">
        <f>SUMIFS('Operations Data'!$J:$J,'Operations Data'!$B:$B,A30)</f>
        <v>18053</v>
      </c>
      <c r="C30">
        <f>SUMIFS('Operations Data'!$K:$K,'Operations Data'!$B:$B,A30)</f>
        <v>17369</v>
      </c>
      <c r="D30">
        <f>SUMIFS('Operations Data'!$L:$L,'Operations Data'!$B:$B,A30)</f>
        <v>372</v>
      </c>
      <c r="E30" s="7">
        <f t="shared" si="0"/>
        <v>2.1417467902585065E-2</v>
      </c>
      <c r="F30" s="7">
        <f>IFERROR(SUMIFS('Operations Data'!$N:$N,'Operations Data'!$B:$B,A30)/C30,0)</f>
        <v>0.93828084518394839</v>
      </c>
      <c r="G30">
        <f>SUMIFS('Operations Data'!$P:$P,'Operations Data'!$B:$B,A30)</f>
        <v>127</v>
      </c>
      <c r="H30">
        <f>COUNTIFS('Operations Data'!$B:$B,A30,'Operations Data'!$AD:$AD,"High")</f>
        <v>2</v>
      </c>
    </row>
    <row r="31" spans="1:8" x14ac:dyDescent="0.35">
      <c r="A31" s="5">
        <v>46230</v>
      </c>
      <c r="B31">
        <f>SUMIFS('Operations Data'!$J:$J,'Operations Data'!$B:$B,A31)</f>
        <v>16349</v>
      </c>
      <c r="C31">
        <f>SUMIFS('Operations Data'!$K:$K,'Operations Data'!$B:$B,A31)</f>
        <v>15220</v>
      </c>
      <c r="D31">
        <f>SUMIFS('Operations Data'!$L:$L,'Operations Data'!$B:$B,A31)</f>
        <v>373</v>
      </c>
      <c r="E31" s="7">
        <f t="shared" si="0"/>
        <v>2.4507227332457294E-2</v>
      </c>
      <c r="F31" s="7">
        <f>IFERROR(SUMIFS('Operations Data'!$N:$N,'Operations Data'!$B:$B,A31)/C31,0)</f>
        <v>0.94592641261498034</v>
      </c>
      <c r="G31">
        <f>SUMIFS('Operations Data'!$P:$P,'Operations Data'!$B:$B,A31)</f>
        <v>155.19999999999999</v>
      </c>
      <c r="H31">
        <f>COUNTIFS('Operations Data'!$B:$B,A31,'Operations Data'!$AD:$AD,"High")</f>
        <v>1</v>
      </c>
    </row>
    <row r="32" spans="1:8" x14ac:dyDescent="0.35">
      <c r="A32" s="5">
        <v>46237</v>
      </c>
      <c r="B32">
        <f>SUMIFS('Operations Data'!$J:$J,'Operations Data'!$B:$B,A32)</f>
        <v>16729</v>
      </c>
      <c r="C32">
        <f>SUMIFS('Operations Data'!$K:$K,'Operations Data'!$B:$B,A32)</f>
        <v>15985</v>
      </c>
      <c r="D32">
        <f>SUMIFS('Operations Data'!$L:$L,'Operations Data'!$B:$B,A32)</f>
        <v>348</v>
      </c>
      <c r="E32" s="7">
        <f t="shared" si="0"/>
        <v>2.1770409759149203E-2</v>
      </c>
      <c r="F32" s="7">
        <f>IFERROR(SUMIFS('Operations Data'!$N:$N,'Operations Data'!$B:$B,A32)/C32,0)</f>
        <v>0.9259931185486393</v>
      </c>
      <c r="G32">
        <f>SUMIFS('Operations Data'!$P:$P,'Operations Data'!$B:$B,A32)</f>
        <v>134.9</v>
      </c>
      <c r="H32">
        <f>COUNTIFS('Operations Data'!$B:$B,A32,'Operations Data'!$AD:$AD,"High")</f>
        <v>1</v>
      </c>
    </row>
    <row r="33" spans="1:8" x14ac:dyDescent="0.35">
      <c r="A33" s="5">
        <v>46244</v>
      </c>
      <c r="B33">
        <f>SUMIFS('Operations Data'!$J:$J,'Operations Data'!$B:$B,A33)</f>
        <v>16229</v>
      </c>
      <c r="C33">
        <f>SUMIFS('Operations Data'!$K:$K,'Operations Data'!$B:$B,A33)</f>
        <v>14936</v>
      </c>
      <c r="D33">
        <f>SUMIFS('Operations Data'!$L:$L,'Operations Data'!$B:$B,A33)</f>
        <v>385</v>
      </c>
      <c r="E33" s="7">
        <f t="shared" si="0"/>
        <v>2.5776647027316552E-2</v>
      </c>
      <c r="F33" s="7">
        <f>IFERROR(SUMIFS('Operations Data'!$N:$N,'Operations Data'!$B:$B,A33)/C33,0)</f>
        <v>0.93411890733797531</v>
      </c>
      <c r="G33">
        <f>SUMIFS('Operations Data'!$P:$P,'Operations Data'!$B:$B,A33)</f>
        <v>106.70000000000002</v>
      </c>
      <c r="H33">
        <f>COUNTIFS('Operations Data'!$B:$B,A33,'Operations Data'!$AD:$AD,"High")</f>
        <v>0</v>
      </c>
    </row>
    <row r="34" spans="1:8" x14ac:dyDescent="0.35">
      <c r="A34" s="5">
        <v>46251</v>
      </c>
      <c r="B34">
        <f>SUMIFS('Operations Data'!$J:$J,'Operations Data'!$B:$B,A34)</f>
        <v>17487</v>
      </c>
      <c r="C34">
        <f>SUMIFS('Operations Data'!$K:$K,'Operations Data'!$B:$B,A34)</f>
        <v>15905</v>
      </c>
      <c r="D34">
        <f>SUMIFS('Operations Data'!$L:$L,'Operations Data'!$B:$B,A34)</f>
        <v>385</v>
      </c>
      <c r="E34" s="7">
        <f t="shared" si="0"/>
        <v>2.4206224457717699E-2</v>
      </c>
      <c r="F34" s="7">
        <f>IFERROR(SUMIFS('Operations Data'!$N:$N,'Operations Data'!$B:$B,A34)/C34,0)</f>
        <v>0.95114743791260614</v>
      </c>
      <c r="G34">
        <f>SUMIFS('Operations Data'!$P:$P,'Operations Data'!$B:$B,A34)</f>
        <v>105.1</v>
      </c>
      <c r="H34">
        <f>COUNTIFS('Operations Data'!$B:$B,A34,'Operations Data'!$AD:$AD,"High")</f>
        <v>2</v>
      </c>
    </row>
    <row r="35" spans="1:8" x14ac:dyDescent="0.35">
      <c r="A35" s="5">
        <v>46258</v>
      </c>
      <c r="B35">
        <f>SUMIFS('Operations Data'!$J:$J,'Operations Data'!$B:$B,A35)</f>
        <v>17474</v>
      </c>
      <c r="C35">
        <f>SUMIFS('Operations Data'!$K:$K,'Operations Data'!$B:$B,A35)</f>
        <v>15703</v>
      </c>
      <c r="D35">
        <f>SUMIFS('Operations Data'!$L:$L,'Operations Data'!$B:$B,A35)</f>
        <v>402</v>
      </c>
      <c r="E35" s="7">
        <f t="shared" si="0"/>
        <v>2.5600203782716678E-2</v>
      </c>
      <c r="F35" s="7">
        <f>IFERROR(SUMIFS('Operations Data'!$N:$N,'Operations Data'!$B:$B,A35)/C35,0)</f>
        <v>0.95847927147678791</v>
      </c>
      <c r="G35">
        <f>SUMIFS('Operations Data'!$P:$P,'Operations Data'!$B:$B,A35)</f>
        <v>114.10000000000001</v>
      </c>
      <c r="H35">
        <f>COUNTIFS('Operations Data'!$B:$B,A35,'Operations Data'!$AD:$AD,"High")</f>
        <v>1</v>
      </c>
    </row>
    <row r="36" spans="1:8" x14ac:dyDescent="0.35">
      <c r="A36" s="5">
        <v>46265</v>
      </c>
      <c r="B36">
        <f>SUMIFS('Operations Data'!$J:$J,'Operations Data'!$B:$B,A36)</f>
        <v>14073</v>
      </c>
      <c r="C36">
        <f>SUMIFS('Operations Data'!$K:$K,'Operations Data'!$B:$B,A36)</f>
        <v>12916</v>
      </c>
      <c r="D36">
        <f>SUMIFS('Operations Data'!$L:$L,'Operations Data'!$B:$B,A36)</f>
        <v>333</v>
      </c>
      <c r="E36" s="7">
        <f t="shared" si="0"/>
        <v>2.5781975843914524E-2</v>
      </c>
      <c r="F36" s="7">
        <f>IFERROR(SUMIFS('Operations Data'!$N:$N,'Operations Data'!$B:$B,A36)/C36,0)</f>
        <v>0.94185506348714776</v>
      </c>
      <c r="G36">
        <f>SUMIFS('Operations Data'!$P:$P,'Operations Data'!$B:$B,A36)</f>
        <v>97.699999999999989</v>
      </c>
      <c r="H36">
        <f>COUNTIFS('Operations Data'!$B:$B,A36,'Operations Data'!$AD:$AD,"High")</f>
        <v>1</v>
      </c>
    </row>
    <row r="37" spans="1:8" x14ac:dyDescent="0.35">
      <c r="A37" s="5">
        <v>46272</v>
      </c>
      <c r="B37">
        <f>SUMIFS('Operations Data'!$J:$J,'Operations Data'!$B:$B,A37)</f>
        <v>17415</v>
      </c>
      <c r="C37">
        <f>SUMIFS('Operations Data'!$K:$K,'Operations Data'!$B:$B,A37)</f>
        <v>16009</v>
      </c>
      <c r="D37">
        <f>SUMIFS('Operations Data'!$L:$L,'Operations Data'!$B:$B,A37)</f>
        <v>405</v>
      </c>
      <c r="E37" s="7">
        <f t="shared" si="0"/>
        <v>2.5298269723280656E-2</v>
      </c>
      <c r="F37" s="7">
        <f>IFERROR(SUMIFS('Operations Data'!$N:$N,'Operations Data'!$B:$B,A37)/C37,0)</f>
        <v>0.93622337435192704</v>
      </c>
      <c r="G37">
        <f>SUMIFS('Operations Data'!$P:$P,'Operations Data'!$B:$B,A37)</f>
        <v>99.5</v>
      </c>
      <c r="H37">
        <f>COUNTIFS('Operations Data'!$B:$B,A37,'Operations Data'!$AD:$AD,"High")</f>
        <v>0</v>
      </c>
    </row>
    <row r="38" spans="1:8" x14ac:dyDescent="0.35">
      <c r="A38" s="5">
        <v>46279</v>
      </c>
      <c r="B38">
        <f>SUMIFS('Operations Data'!$J:$J,'Operations Data'!$B:$B,A38)</f>
        <v>17291</v>
      </c>
      <c r="C38">
        <f>SUMIFS('Operations Data'!$K:$K,'Operations Data'!$B:$B,A38)</f>
        <v>15876</v>
      </c>
      <c r="D38">
        <f>SUMIFS('Operations Data'!$L:$L,'Operations Data'!$B:$B,A38)</f>
        <v>351</v>
      </c>
      <c r="E38" s="7">
        <f t="shared" si="0"/>
        <v>2.2108843537414966E-2</v>
      </c>
      <c r="F38" s="7">
        <f>IFERROR(SUMIFS('Operations Data'!$N:$N,'Operations Data'!$B:$B,A38)/C38,0)</f>
        <v>0.93946837994457044</v>
      </c>
      <c r="G38">
        <f>SUMIFS('Operations Data'!$P:$P,'Operations Data'!$B:$B,A38)</f>
        <v>111.1</v>
      </c>
      <c r="H38">
        <f>COUNTIFS('Operations Data'!$B:$B,A38,'Operations Data'!$AD:$AD,"High")</f>
        <v>0</v>
      </c>
    </row>
    <row r="39" spans="1:8" x14ac:dyDescent="0.35">
      <c r="A39" s="5">
        <v>46286</v>
      </c>
      <c r="B39">
        <f>SUMIFS('Operations Data'!$J:$J,'Operations Data'!$B:$B,A39)</f>
        <v>16327</v>
      </c>
      <c r="C39">
        <f>SUMIFS('Operations Data'!$K:$K,'Operations Data'!$B:$B,A39)</f>
        <v>15338</v>
      </c>
      <c r="D39">
        <f>SUMIFS('Operations Data'!$L:$L,'Operations Data'!$B:$B,A39)</f>
        <v>389</v>
      </c>
      <c r="E39" s="7">
        <f t="shared" si="0"/>
        <v>2.5361846394575564E-2</v>
      </c>
      <c r="F39" s="7">
        <f>IFERROR(SUMIFS('Operations Data'!$N:$N,'Operations Data'!$B:$B,A39)/C39,0)</f>
        <v>0.9296518450906246</v>
      </c>
      <c r="G39">
        <f>SUMIFS('Operations Data'!$P:$P,'Operations Data'!$B:$B,A39)</f>
        <v>158.60000000000002</v>
      </c>
      <c r="H39">
        <f>COUNTIFS('Operations Data'!$B:$B,A39,'Operations Data'!$AD:$AD,"High")</f>
        <v>1</v>
      </c>
    </row>
    <row r="40" spans="1:8" x14ac:dyDescent="0.35">
      <c r="A40" s="5">
        <v>46293</v>
      </c>
      <c r="B40">
        <f>SUMIFS('Operations Data'!$J:$J,'Operations Data'!$B:$B,A40)</f>
        <v>15241</v>
      </c>
      <c r="C40">
        <f>SUMIFS('Operations Data'!$K:$K,'Operations Data'!$B:$B,A40)</f>
        <v>14451</v>
      </c>
      <c r="D40">
        <f>SUMIFS('Operations Data'!$L:$L,'Operations Data'!$B:$B,A40)</f>
        <v>321</v>
      </c>
      <c r="E40" s="7">
        <f t="shared" si="0"/>
        <v>2.2212995640440106E-2</v>
      </c>
      <c r="F40" s="7">
        <f>IFERROR(SUMIFS('Operations Data'!$N:$N,'Operations Data'!$B:$B,A40)/C40,0)</f>
        <v>0.94055774686872884</v>
      </c>
      <c r="G40">
        <f>SUMIFS('Operations Data'!$P:$P,'Operations Data'!$B:$B,A40)</f>
        <v>104.5</v>
      </c>
      <c r="H40">
        <f>COUNTIFS('Operations Data'!$B:$B,A40,'Operations Data'!$AD:$AD,"High")</f>
        <v>2</v>
      </c>
    </row>
    <row r="41" spans="1:8" x14ac:dyDescent="0.35">
      <c r="A41" s="5">
        <v>46300</v>
      </c>
      <c r="B41">
        <f>SUMIFS('Operations Data'!$J:$J,'Operations Data'!$B:$B,A41)</f>
        <v>16934</v>
      </c>
      <c r="C41">
        <f>SUMIFS('Operations Data'!$K:$K,'Operations Data'!$B:$B,A41)</f>
        <v>16418</v>
      </c>
      <c r="D41">
        <f>SUMIFS('Operations Data'!$L:$L,'Operations Data'!$B:$B,A41)</f>
        <v>377</v>
      </c>
      <c r="E41" s="7">
        <f t="shared" si="0"/>
        <v>2.2962602022170788E-2</v>
      </c>
      <c r="F41" s="7">
        <f>IFERROR(SUMIFS('Operations Data'!$N:$N,'Operations Data'!$B:$B,A41)/C41,0)</f>
        <v>0.93555853331709105</v>
      </c>
      <c r="G41">
        <f>SUMIFS('Operations Data'!$P:$P,'Operations Data'!$B:$B,A41)</f>
        <v>109.4</v>
      </c>
      <c r="H41">
        <f>COUNTIFS('Operations Data'!$B:$B,A41,'Operations Data'!$AD:$AD,"High")</f>
        <v>0</v>
      </c>
    </row>
  </sheetData>
  <pageMargins left="0.75" right="0.75" top="1" bottom="1" header="0.5" footer="0.5"/>
  <pageSetup fitToHeight="0"/>
  <headerFooter>
    <oddHeader>&amp;CFord-relevant fictional training workbook</oddHeader>
    <oddFooter>&amp;CSynthetic data only — not operational data</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26"/>
  <sheetViews>
    <sheetView showGridLines="0" workbookViewId="0">
      <selection sqref="A1:H1"/>
    </sheetView>
  </sheetViews>
  <sheetFormatPr defaultRowHeight="14.5" x14ac:dyDescent="0.35"/>
  <cols>
    <col min="1" max="1" width="28" customWidth="1"/>
    <col min="2" max="2" width="18" customWidth="1"/>
    <col min="3" max="3" width="15" customWidth="1"/>
    <col min="4" max="4" width="24" customWidth="1"/>
    <col min="5" max="6" width="20" customWidth="1"/>
    <col min="7" max="7" width="15" customWidth="1"/>
    <col min="8" max="8" width="21" customWidth="1"/>
  </cols>
  <sheetData>
    <row r="1" spans="1:8" ht="26" x14ac:dyDescent="0.6">
      <c r="A1" s="11" t="s">
        <v>982</v>
      </c>
      <c r="B1" s="10"/>
      <c r="C1" s="10"/>
      <c r="D1" s="10"/>
      <c r="E1" s="10"/>
      <c r="F1" s="10"/>
      <c r="G1" s="10"/>
      <c r="H1" s="10"/>
    </row>
    <row r="3" spans="1:8" x14ac:dyDescent="0.35">
      <c r="A3" s="1" t="s">
        <v>983</v>
      </c>
      <c r="B3" s="1" t="s">
        <v>17</v>
      </c>
      <c r="D3" s="1" t="s">
        <v>983</v>
      </c>
      <c r="E3" s="1" t="s">
        <v>17</v>
      </c>
    </row>
    <row r="4" spans="1:8" x14ac:dyDescent="0.35">
      <c r="A4" t="s">
        <v>984</v>
      </c>
      <c r="B4">
        <f>SUM('Operations Data'!K2:K601)</f>
        <v>657199</v>
      </c>
      <c r="D4" t="s">
        <v>985</v>
      </c>
      <c r="E4">
        <f>COUNTIF('Operations Data'!AE2:AE601,"Yes")</f>
        <v>140</v>
      </c>
    </row>
    <row r="5" spans="1:8" x14ac:dyDescent="0.35">
      <c r="A5" t="s">
        <v>986</v>
      </c>
      <c r="B5">
        <f>SUM('Operations Data'!L2:L601)</f>
        <v>16584</v>
      </c>
      <c r="D5" t="s">
        <v>987</v>
      </c>
      <c r="E5">
        <f>COUNTIF('Operations Data'!Q2:Q601,"Late")</f>
        <v>85</v>
      </c>
    </row>
    <row r="6" spans="1:8" x14ac:dyDescent="0.35">
      <c r="A6" t="s">
        <v>988</v>
      </c>
      <c r="B6" s="7">
        <f>IFERROR(B5/B4,0)</f>
        <v>2.5234365846570066E-2</v>
      </c>
      <c r="D6" t="s">
        <v>989</v>
      </c>
      <c r="E6">
        <f>COUNTIF('Operations Data'!R2:R601,"Yes")</f>
        <v>12</v>
      </c>
    </row>
    <row r="7" spans="1:8" x14ac:dyDescent="0.35">
      <c r="A7" t="s">
        <v>990</v>
      </c>
      <c r="B7" s="7">
        <f>IFERROR(SUM('Operations Data'!N2:N601)/B4,0)</f>
        <v>0.94206016746830112</v>
      </c>
      <c r="D7" t="s">
        <v>991</v>
      </c>
      <c r="E7">
        <f>COUNTIF('Operations Data'!S2:S601,"Decision Required")</f>
        <v>48</v>
      </c>
    </row>
    <row r="8" spans="1:8" x14ac:dyDescent="0.35">
      <c r="A8" t="s">
        <v>992</v>
      </c>
      <c r="B8" s="8">
        <f>SUM('Operations Data'!AB2:AB601)</f>
        <v>4547805.0900000017</v>
      </c>
      <c r="D8" t="s">
        <v>993</v>
      </c>
      <c r="E8">
        <f>COUNTIF('Quality Risk'!Q2:Q241,"Review Required")</f>
        <v>115</v>
      </c>
    </row>
    <row r="9" spans="1:8" x14ac:dyDescent="0.35">
      <c r="A9" t="s">
        <v>981</v>
      </c>
      <c r="B9">
        <f>COUNTIF('Operations Data'!AD2:AD601,"High")</f>
        <v>36</v>
      </c>
      <c r="D9" t="s">
        <v>994</v>
      </c>
      <c r="E9" s="8">
        <f>SUM('Quality Risk'!M2:M241)</f>
        <v>327561856</v>
      </c>
    </row>
    <row r="12" spans="1:8" x14ac:dyDescent="0.35">
      <c r="A12" s="1" t="s">
        <v>19</v>
      </c>
      <c r="B12" s="1" t="s">
        <v>55</v>
      </c>
      <c r="C12" s="1" t="s">
        <v>56</v>
      </c>
      <c r="D12" s="1" t="s">
        <v>69</v>
      </c>
      <c r="E12" s="1" t="s">
        <v>70</v>
      </c>
      <c r="F12" s="1" t="s">
        <v>995</v>
      </c>
      <c r="G12" s="1" t="s">
        <v>996</v>
      </c>
      <c r="H12" s="1" t="s">
        <v>75</v>
      </c>
    </row>
    <row r="13" spans="1:8" x14ac:dyDescent="0.35">
      <c r="A13" t="s">
        <v>20</v>
      </c>
      <c r="B13">
        <f>SUMIFS('Operations Data'!$K:$K,'Operations Data'!$D:$D,A13)</f>
        <v>133240</v>
      </c>
      <c r="C13">
        <f>SUMIFS('Operations Data'!$L:$L,'Operations Data'!$D:$D,A13)</f>
        <v>3984</v>
      </c>
      <c r="D13" s="7">
        <f>IFERROR(C13/B13,0)</f>
        <v>2.990093065145602E-2</v>
      </c>
      <c r="E13" s="7">
        <f>IFERROR(SUMIFS('Operations Data'!$N:$N,'Operations Data'!$D:$D,A13)/B13,0)</f>
        <v>0.94413839687781442</v>
      </c>
      <c r="F13" s="8">
        <f>SUMIFS('Operations Data'!$AB:$AB,'Operations Data'!$D:$D,A13)</f>
        <v>1511631.3300000005</v>
      </c>
      <c r="G13">
        <f>COUNTIFS('Operations Data'!$D:$D,A13,'Operations Data'!$AD:$AD,"High")</f>
        <v>9</v>
      </c>
      <c r="H13">
        <f>COUNTIFS('Operations Data'!$D:$D,A13,'Operations Data'!$AE:$AE,"Yes")</f>
        <v>33</v>
      </c>
    </row>
    <row r="14" spans="1:8" x14ac:dyDescent="0.35">
      <c r="A14" t="s">
        <v>22</v>
      </c>
      <c r="B14">
        <f>SUMIFS('Operations Data'!$K:$K,'Operations Data'!$D:$D,A14)</f>
        <v>150496</v>
      </c>
      <c r="C14">
        <f>SUMIFS('Operations Data'!$L:$L,'Operations Data'!$D:$D,A14)</f>
        <v>3542</v>
      </c>
      <c r="D14" s="7">
        <f>IFERROR(C14/B14,0)</f>
        <v>2.3535509249415266E-2</v>
      </c>
      <c r="E14" s="7">
        <f>IFERROR(SUMIFS('Operations Data'!$N:$N,'Operations Data'!$D:$D,A14)/B14,0)</f>
        <v>0.94331410801615989</v>
      </c>
      <c r="F14" s="8">
        <f>SUMIFS('Operations Data'!$AB:$AB,'Operations Data'!$D:$D,A14)</f>
        <v>806670.46000000008</v>
      </c>
      <c r="G14">
        <f>COUNTIFS('Operations Data'!$D:$D,A14,'Operations Data'!$AD:$AD,"High")</f>
        <v>7</v>
      </c>
      <c r="H14">
        <f>COUNTIFS('Operations Data'!$D:$D,A14,'Operations Data'!$AE:$AE,"Yes")</f>
        <v>29</v>
      </c>
    </row>
    <row r="15" spans="1:8" x14ac:dyDescent="0.35">
      <c r="A15" t="s">
        <v>23</v>
      </c>
      <c r="B15">
        <f>SUMIFS('Operations Data'!$K:$K,'Operations Data'!$D:$D,A15)</f>
        <v>108372</v>
      </c>
      <c r="C15">
        <f>SUMIFS('Operations Data'!$L:$L,'Operations Data'!$D:$D,A15)</f>
        <v>2525</v>
      </c>
      <c r="D15" s="7">
        <f>IFERROR(C15/B15,0)</f>
        <v>2.3299376222640535E-2</v>
      </c>
      <c r="E15" s="7">
        <f>IFERROR(SUMIFS('Operations Data'!$N:$N,'Operations Data'!$D:$D,A15)/B15,0)</f>
        <v>0.94181153803565498</v>
      </c>
      <c r="F15" s="8">
        <f>SUMIFS('Operations Data'!$AB:$AB,'Operations Data'!$D:$D,A15)</f>
        <v>605787.29999999981</v>
      </c>
      <c r="G15">
        <f>COUNTIFS('Operations Data'!$D:$D,A15,'Operations Data'!$AD:$AD,"High")</f>
        <v>6</v>
      </c>
      <c r="H15">
        <f>COUNTIFS('Operations Data'!$D:$D,A15,'Operations Data'!$AE:$AE,"Yes")</f>
        <v>27</v>
      </c>
    </row>
    <row r="16" spans="1:8" x14ac:dyDescent="0.35">
      <c r="A16" t="s">
        <v>24</v>
      </c>
      <c r="B16">
        <f>SUMIFS('Operations Data'!$K:$K,'Operations Data'!$D:$D,A16)</f>
        <v>136286</v>
      </c>
      <c r="C16">
        <f>SUMIFS('Operations Data'!$L:$L,'Operations Data'!$D:$D,A16)</f>
        <v>3470</v>
      </c>
      <c r="D16" s="7">
        <f>IFERROR(C16/B16,0)</f>
        <v>2.5461162555214769E-2</v>
      </c>
      <c r="E16" s="7">
        <f>IFERROR(SUMIFS('Operations Data'!$N:$N,'Operations Data'!$D:$D,A16)/B16,0)</f>
        <v>0.94094037538705366</v>
      </c>
      <c r="F16" s="8">
        <f>SUMIFS('Operations Data'!$AB:$AB,'Operations Data'!$D:$D,A16)</f>
        <v>872908.2200000002</v>
      </c>
      <c r="G16">
        <f>COUNTIFS('Operations Data'!$D:$D,A16,'Operations Data'!$AD:$AD,"High")</f>
        <v>11</v>
      </c>
      <c r="H16">
        <f>COUNTIFS('Operations Data'!$D:$D,A16,'Operations Data'!$AE:$AE,"Yes")</f>
        <v>30</v>
      </c>
    </row>
    <row r="17" spans="1:8" x14ac:dyDescent="0.35">
      <c r="A17" t="s">
        <v>25</v>
      </c>
      <c r="B17">
        <f>SUMIFS('Operations Data'!$K:$K,'Operations Data'!$D:$D,A17)</f>
        <v>127892</v>
      </c>
      <c r="C17">
        <f>SUMIFS('Operations Data'!$L:$L,'Operations Data'!$D:$D,A17)</f>
        <v>3041</v>
      </c>
      <c r="D17" s="7">
        <f>IFERROR(C17/B17,0)</f>
        <v>2.3777875082100521E-2</v>
      </c>
      <c r="E17" s="7">
        <f>IFERROR(SUMIFS('Operations Data'!$N:$N,'Operations Data'!$D:$D,A17)/B17,0)</f>
        <v>0.93991023676226815</v>
      </c>
      <c r="F17" s="8">
        <f>SUMIFS('Operations Data'!$AB:$AB,'Operations Data'!$D:$D,A17)</f>
        <v>749964.95999999973</v>
      </c>
      <c r="G17">
        <f>COUNTIFS('Operations Data'!$D:$D,A17,'Operations Data'!$AD:$AD,"High")</f>
        <v>3</v>
      </c>
      <c r="H17">
        <f>COUNTIFS('Operations Data'!$D:$D,A17,'Operations Data'!$AE:$AE,"Yes")</f>
        <v>21</v>
      </c>
    </row>
    <row r="21" spans="1:8" x14ac:dyDescent="0.35">
      <c r="A21" s="1" t="s">
        <v>26</v>
      </c>
      <c r="B21" s="1" t="s">
        <v>55</v>
      </c>
      <c r="C21" s="1" t="s">
        <v>56</v>
      </c>
      <c r="D21" s="1" t="s">
        <v>69</v>
      </c>
      <c r="E21" s="1" t="s">
        <v>72</v>
      </c>
    </row>
    <row r="22" spans="1:8" x14ac:dyDescent="0.35">
      <c r="A22" t="s">
        <v>27</v>
      </c>
      <c r="B22">
        <f>SUMIFS('Operations Data'!$K:$K,'Operations Data'!$F:$F,A22)</f>
        <v>134333</v>
      </c>
      <c r="C22">
        <f>SUMIFS('Operations Data'!$L:$L,'Operations Data'!$F:$F,A22)</f>
        <v>3283</v>
      </c>
      <c r="D22" s="7">
        <f>IFERROR(C22/B22,0)</f>
        <v>2.4439266598676422E-2</v>
      </c>
      <c r="E22" s="8">
        <f>SUMIFS('Operations Data'!$AB:$AB,'Operations Data'!$F:$F,A22)</f>
        <v>729756.39000000025</v>
      </c>
    </row>
    <row r="23" spans="1:8" x14ac:dyDescent="0.35">
      <c r="A23" t="s">
        <v>29</v>
      </c>
      <c r="B23">
        <f>SUMIFS('Operations Data'!$K:$K,'Operations Data'!$F:$F,A23)</f>
        <v>133010</v>
      </c>
      <c r="C23">
        <f>SUMIFS('Operations Data'!$L:$L,'Operations Data'!$F:$F,A23)</f>
        <v>3612</v>
      </c>
      <c r="D23" s="7">
        <f>IFERROR(C23/B23,0)</f>
        <v>2.7155852943387716E-2</v>
      </c>
      <c r="E23" s="8">
        <f>SUMIFS('Operations Data'!$AB:$AB,'Operations Data'!$F:$F,A23)</f>
        <v>1389430.7599999998</v>
      </c>
    </row>
    <row r="24" spans="1:8" x14ac:dyDescent="0.35">
      <c r="A24" t="s">
        <v>30</v>
      </c>
      <c r="B24">
        <f>SUMIFS('Operations Data'!$K:$K,'Operations Data'!$F:$F,A24)</f>
        <v>141399</v>
      </c>
      <c r="C24">
        <f>SUMIFS('Operations Data'!$L:$L,'Operations Data'!$F:$F,A24)</f>
        <v>3477</v>
      </c>
      <c r="D24" s="7">
        <f>IFERROR(C24/B24,0)</f>
        <v>2.4589990028218021E-2</v>
      </c>
      <c r="E24" s="8">
        <f>SUMIFS('Operations Data'!$AB:$AB,'Operations Data'!$F:$F,A24)</f>
        <v>806014.2699999999</v>
      </c>
    </row>
    <row r="25" spans="1:8" x14ac:dyDescent="0.35">
      <c r="A25" t="s">
        <v>31</v>
      </c>
      <c r="B25">
        <f>SUMIFS('Operations Data'!$K:$K,'Operations Data'!$F:$F,A25)</f>
        <v>117976</v>
      </c>
      <c r="C25">
        <f>SUMIFS('Operations Data'!$L:$L,'Operations Data'!$F:$F,A25)</f>
        <v>3129</v>
      </c>
      <c r="D25" s="7">
        <f>IFERROR(C25/B25,0)</f>
        <v>2.6522343527497119E-2</v>
      </c>
      <c r="E25" s="8">
        <f>SUMIFS('Operations Data'!$AB:$AB,'Operations Data'!$F:$F,A25)</f>
        <v>828598.01000000013</v>
      </c>
    </row>
    <row r="26" spans="1:8" x14ac:dyDescent="0.35">
      <c r="A26" t="s">
        <v>32</v>
      </c>
      <c r="B26">
        <f>SUMIFS('Operations Data'!$K:$K,'Operations Data'!$F:$F,A26)</f>
        <v>127963</v>
      </c>
      <c r="C26">
        <f>SUMIFS('Operations Data'!$L:$L,'Operations Data'!$F:$F,A26)</f>
        <v>3012</v>
      </c>
      <c r="D26" s="7">
        <f>IFERROR(C26/B26,0)</f>
        <v>2.3538053968725336E-2</v>
      </c>
      <c r="E26" s="8">
        <f>SUMIFS('Operations Data'!$AB:$AB,'Operations Data'!$F:$F,A26)</f>
        <v>769040.59999999986</v>
      </c>
    </row>
  </sheetData>
  <mergeCells count="1">
    <mergeCell ref="A1:H1"/>
  </mergeCells>
  <pageMargins left="0.75" right="0.75" top="1" bottom="1" header="0.5" footer="0.5"/>
  <pageSetup fitToHeight="0"/>
  <headerFooter>
    <oddHeader>&amp;CFord-relevant fictional training workbook</oddHeader>
    <oddFooter>&amp;CSynthetic data only — not operational data</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D13"/>
  <sheetViews>
    <sheetView showGridLines="0" workbookViewId="0"/>
  </sheetViews>
  <sheetFormatPr defaultRowHeight="14.5" x14ac:dyDescent="0.35"/>
  <cols>
    <col min="1" max="2" width="28" customWidth="1"/>
    <col min="3" max="4" width="48" customWidth="1"/>
  </cols>
  <sheetData>
    <row r="1" spans="1:4" x14ac:dyDescent="0.35">
      <c r="A1" s="1" t="s">
        <v>997</v>
      </c>
      <c r="B1" s="1" t="s">
        <v>998</v>
      </c>
      <c r="C1" s="1" t="s">
        <v>999</v>
      </c>
      <c r="D1" s="1" t="s">
        <v>1000</v>
      </c>
    </row>
    <row r="2" spans="1:4" x14ac:dyDescent="0.35">
      <c r="A2" s="3" t="s">
        <v>26</v>
      </c>
      <c r="B2" s="3" t="s">
        <v>1001</v>
      </c>
      <c r="C2" s="3" t="s">
        <v>108</v>
      </c>
      <c r="D2" s="3" t="s">
        <v>1002</v>
      </c>
    </row>
    <row r="3" spans="1:4" x14ac:dyDescent="0.35">
      <c r="A3" s="3" t="s">
        <v>26</v>
      </c>
      <c r="B3" s="3" t="s">
        <v>1003</v>
      </c>
      <c r="C3" s="3" t="s">
        <v>1004</v>
      </c>
      <c r="D3" s="3" t="s">
        <v>1005</v>
      </c>
    </row>
    <row r="4" spans="1:4" x14ac:dyDescent="0.35">
      <c r="A4" s="3" t="s">
        <v>33</v>
      </c>
      <c r="B4" s="3" t="s">
        <v>1006</v>
      </c>
      <c r="C4" s="3" t="s">
        <v>190</v>
      </c>
      <c r="D4" s="3" t="s">
        <v>1007</v>
      </c>
    </row>
    <row r="5" spans="1:4" x14ac:dyDescent="0.35">
      <c r="A5" s="3" t="s">
        <v>19</v>
      </c>
      <c r="B5" s="3" t="s">
        <v>1008</v>
      </c>
      <c r="C5" s="3" t="s">
        <v>248</v>
      </c>
      <c r="D5" s="3" t="s">
        <v>1009</v>
      </c>
    </row>
    <row r="6" spans="1:4" x14ac:dyDescent="0.35">
      <c r="A6" s="3" t="s">
        <v>53</v>
      </c>
      <c r="B6" s="3" t="s">
        <v>1010</v>
      </c>
      <c r="C6" s="3" t="s">
        <v>328</v>
      </c>
      <c r="D6" s="3" t="s">
        <v>1011</v>
      </c>
    </row>
    <row r="7" spans="1:4" x14ac:dyDescent="0.35">
      <c r="A7" s="3" t="s">
        <v>33</v>
      </c>
      <c r="B7" s="3" t="s">
        <v>1012</v>
      </c>
      <c r="C7" s="3" t="s">
        <v>428</v>
      </c>
      <c r="D7" s="3" t="s">
        <v>1013</v>
      </c>
    </row>
    <row r="8" spans="1:4" x14ac:dyDescent="0.35">
      <c r="A8" s="3" t="s">
        <v>41</v>
      </c>
      <c r="B8" s="3" t="s">
        <v>1014</v>
      </c>
      <c r="C8" s="3" t="s">
        <v>523</v>
      </c>
      <c r="D8" s="3" t="s">
        <v>1015</v>
      </c>
    </row>
    <row r="9" spans="1:4" x14ac:dyDescent="0.35">
      <c r="A9" s="3" t="s">
        <v>1016</v>
      </c>
      <c r="B9" s="3" t="s">
        <v>1017</v>
      </c>
      <c r="C9" s="3" t="s">
        <v>1018</v>
      </c>
      <c r="D9" s="3" t="s">
        <v>1019</v>
      </c>
    </row>
    <row r="10" spans="1:4" x14ac:dyDescent="0.35">
      <c r="A10" s="3" t="s">
        <v>1016</v>
      </c>
      <c r="B10" s="3" t="s">
        <v>1020</v>
      </c>
      <c r="C10" s="3" t="s">
        <v>1021</v>
      </c>
      <c r="D10" s="3" t="s">
        <v>1019</v>
      </c>
    </row>
    <row r="11" spans="1:4" x14ac:dyDescent="0.35">
      <c r="A11" s="3" t="s">
        <v>1022</v>
      </c>
      <c r="B11" s="3" t="s">
        <v>1023</v>
      </c>
      <c r="C11" s="3" t="s">
        <v>1024</v>
      </c>
      <c r="D11" s="3" t="s">
        <v>1025</v>
      </c>
    </row>
    <row r="12" spans="1:4" x14ac:dyDescent="0.35">
      <c r="A12" s="3" t="s">
        <v>1026</v>
      </c>
      <c r="B12" s="3" t="s">
        <v>1023</v>
      </c>
      <c r="C12" s="3" t="s">
        <v>1027</v>
      </c>
      <c r="D12" s="3" t="s">
        <v>1025</v>
      </c>
    </row>
    <row r="13" spans="1:4" x14ac:dyDescent="0.35">
      <c r="A13" s="3" t="s">
        <v>1028</v>
      </c>
      <c r="B13" s="3" t="s">
        <v>1029</v>
      </c>
      <c r="C13" s="3" t="s">
        <v>1030</v>
      </c>
      <c r="D13" s="3" t="s">
        <v>1025</v>
      </c>
    </row>
  </sheetData>
  <pageMargins left="0.75" right="0.75" top="1" bottom="1" header="0.5" footer="0.5"/>
  <pageSetup fitToHeight="0"/>
  <headerFooter>
    <oddHeader>&amp;CFord-relevant fictional training workbook</oddHeader>
    <oddFooter>&amp;CSynthetic data only — not operational data</oddFooter>
  </headerFooter>
</worksheet>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README_Demo_Guide</vt:lpstr>
      <vt:lpstr>Lookup</vt:lpstr>
      <vt:lpstr>Operations Data</vt:lpstr>
      <vt:lpstr>Quality Risk</vt:lpstr>
      <vt:lpstr>Weekly Trend</vt:lpstr>
      <vt:lpstr>Summary</vt:lpstr>
      <vt:lpstr>Intentional Issues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Ford Manufacturing Operations Insights Demo</dc:title>
  <dc:subject>Synthetic Copilot in Excel training workbook</dc:subject>
  <dc:creator>Juliet Rajan</dc:creator>
  <cp:keywords/>
  <dc:description/>
  <cp:lastModifiedBy>Juliet Rajan</cp:lastModifiedBy>
  <cp:revision/>
  <dcterms:created xsi:type="dcterms:W3CDTF">2026-10-22T22:22:37Z</dcterms:created>
  <dcterms:modified xsi:type="dcterms:W3CDTF">2026-10-22T22:25:54Z</dcterms:modified>
  <cp:category/>
  <cp:contentStatus/>
</cp:coreProperties>
</file>