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Data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Parts Risk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Weekly Trend" sheetId="5" state="visible" r:id="rId5"/>
    <sheet xmlns:r="http://schemas.openxmlformats.org/officeDocument/2006/relationships" name="Forecast Prompts" sheetId="6" state="visible" r:id="rId6"/>
    <sheet xmlns:r="http://schemas.openxmlformats.org/officeDocument/2006/relationships" name="Read Me" sheetId="7" state="visible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Produced Units by Plant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Defect Rate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Trend'!$A$2:$A$13</f>
            </numRef>
          </cat>
          <val>
            <numRef>
              <f>'Weekly Trend'!$D$2:$D$13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perationsTable" displayName="OperationsTable" ref="A1:Q193" headerRowCount="1">
  <autoFilter ref="A1:Q193"/>
  <tableColumns count="17">
    <tableColumn id="1" name="Record ID"/>
    <tableColumn id="2" name="Week Start"/>
    <tableColumn id="3" name="Plant"/>
    <tableColumn id="4" name="Product Family"/>
    <tableColumn id="5" name="Shift"/>
    <tableColumn id="6" name="Supplier"/>
    <tableColumn id="7" name="Units Planned"/>
    <tableColumn id="8" name="Units Produced"/>
    <tableColumn id="9" name="Defects"/>
    <tableColumn id="10" name="On-Time Shipments"/>
    <tableColumn id="11" name="Inspection Hours"/>
    <tableColumn id="12" name="Missing Calibration Flag"/>
    <tableColumn id="13" name="Notes"/>
    <tableColumn id="14" name="Defect Rate"/>
    <tableColumn id="15" name="On-Time %"/>
    <tableColumn id="16" name="Throughput Gap"/>
    <tableColumn id="17" name="Risk B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okupTable" displayName="LookupTable" ref="A1:C12" headerRowCount="1">
  <autoFilter ref="A1:C12"/>
  <tableColumns count="3">
    <tableColumn id="1" name="Category"/>
    <tableColumn id="2" name="Value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sRiskTable" displayName="PartsRiskTable" ref="A1:D5" headerRowCount="1">
  <autoFilter ref="A1:D5"/>
  <tableColumns count="4">
    <tableColumn id="1" name="Product Family"/>
    <tableColumn id="2" name="Primary Risk"/>
    <tableColumn id="3" name="Risk Level"/>
    <tableColumn id="4" name="Recommended Follow-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eklyTrendTable" displayName="WeeklyTrendTable" ref="A1:D13" headerRowCount="1">
  <autoFilter ref="A1:D13"/>
  <tableColumns count="4">
    <tableColumn id="1" name="Week Start"/>
    <tableColumn id="2" name="Produced"/>
    <tableColumn id="3" name="Defects"/>
    <tableColumn id="4" name="Defect 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recastPromptTable" displayName="ForecastPromptTable" ref="A1:B5" headerRowCount="1">
  <autoFilter ref="A1:B5"/>
  <tableColumns count="2">
    <tableColumn id="1" name="Use Case"/>
    <tableColumn id="2" name="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1" customWidth="1" min="5" max="5"/>
    <col width="24" customWidth="1" min="6" max="6"/>
    <col width="15" customWidth="1" min="7" max="7"/>
    <col width="16" customWidth="1" min="8" max="8"/>
    <col width="11" customWidth="1" min="9" max="9"/>
    <col width="19" customWidth="1" min="10" max="10"/>
    <col width="18" customWidth="1" min="11" max="11"/>
    <col width="26" customWidth="1" min="12" max="12"/>
    <col width="23" customWidth="1" min="13" max="13"/>
    <col width="13" customWidth="1" min="14" max="14"/>
    <col width="12" customWidth="1" min="15" max="15"/>
    <col width="16" customWidth="1" min="16" max="16"/>
    <col width="36" customWidth="1" min="17" max="17"/>
  </cols>
  <sheetData>
    <row r="1">
      <c r="A1" s="1" t="inlineStr">
        <is>
          <t>Record ID</t>
        </is>
      </c>
      <c r="B1" s="1" t="inlineStr">
        <is>
          <t>Week Start</t>
        </is>
      </c>
      <c r="C1" s="1" t="inlineStr">
        <is>
          <t>Plant</t>
        </is>
      </c>
      <c r="D1" s="1" t="inlineStr">
        <is>
          <t>Product Family</t>
        </is>
      </c>
      <c r="E1" s="1" t="inlineStr">
        <is>
          <t>Shift</t>
        </is>
      </c>
      <c r="F1" s="1" t="inlineStr">
        <is>
          <t>Supplier</t>
        </is>
      </c>
      <c r="G1" s="1" t="inlineStr">
        <is>
          <t>Units Planned</t>
        </is>
      </c>
      <c r="H1" s="1" t="inlineStr">
        <is>
          <t>Units Produced</t>
        </is>
      </c>
      <c r="I1" s="1" t="inlineStr">
        <is>
          <t>Defects</t>
        </is>
      </c>
      <c r="J1" s="1" t="inlineStr">
        <is>
          <t>On-Time Shipments</t>
        </is>
      </c>
      <c r="K1" s="1" t="inlineStr">
        <is>
          <t>Inspection Hours</t>
        </is>
      </c>
      <c r="L1" s="1" t="inlineStr">
        <is>
          <t>Missing Calibration Flag</t>
        </is>
      </c>
      <c r="M1" s="1" t="inlineStr">
        <is>
          <t>Notes</t>
        </is>
      </c>
      <c r="N1" s="1" t="inlineStr">
        <is>
          <t>Defect Rate</t>
        </is>
      </c>
      <c r="O1" s="1" t="inlineStr">
        <is>
          <t>On-Time %</t>
        </is>
      </c>
      <c r="P1" s="1" t="inlineStr">
        <is>
          <t>Throughput Gap</t>
        </is>
      </c>
      <c r="Q1" s="1" t="inlineStr">
        <is>
          <t>Risk Band</t>
        </is>
      </c>
    </row>
    <row r="2">
      <c r="A2" t="inlineStr">
        <is>
          <t>NM-01-11</t>
        </is>
      </c>
      <c r="B2" t="inlineStr">
        <is>
          <t>2026-07-06</t>
        </is>
      </c>
      <c r="C2" t="inlineStr">
        <is>
          <t>North Assembly</t>
        </is>
      </c>
      <c r="D2" t="inlineStr">
        <is>
          <t>Sensor Module</t>
        </is>
      </c>
      <c r="E2" t="inlineStr">
        <is>
          <t>Swing</t>
        </is>
      </c>
      <c r="F2" t="inlineStr">
        <is>
          <t>Blue Harbor Components</t>
        </is>
      </c>
      <c r="G2" t="n">
        <v>1099</v>
      </c>
      <c r="H2" t="n">
        <v>1042</v>
      </c>
      <c r="I2" t="n">
        <v>34</v>
      </c>
      <c r="J2" t="n">
        <v>967</v>
      </c>
      <c r="K2" t="n">
        <v>31.3</v>
      </c>
      <c r="L2" t="inlineStr">
        <is>
          <t>No</t>
        </is>
      </c>
      <c r="M2" t="inlineStr">
        <is>
          <t>Normal variation</t>
        </is>
      </c>
      <c r="N2" s="2">
        <f>I2/H2</f>
        <v/>
      </c>
      <c r="O2" s="2">
        <f>J2/H2</f>
        <v/>
      </c>
      <c r="P2">
        <f>H2-G2</f>
        <v/>
      </c>
      <c r="Q2">
        <f>IF(N2&gt;0.04,"High",IF(N2&gt;0.03,"Medium","Low"))</f>
        <v/>
      </c>
    </row>
    <row r="3">
      <c r="A3" t="inlineStr">
        <is>
          <t>NM-01-12</t>
        </is>
      </c>
      <c r="B3" t="inlineStr">
        <is>
          <t>2026-07-06</t>
        </is>
      </c>
      <c r="C3" t="inlineStr">
        <is>
          <t>North Assembly</t>
        </is>
      </c>
      <c r="D3" t="inlineStr">
        <is>
          <t>Battery Controller</t>
        </is>
      </c>
      <c r="E3" t="inlineStr">
        <is>
          <t>Night</t>
        </is>
      </c>
      <c r="F3" t="inlineStr">
        <is>
          <t>Blue Harbor Components</t>
        </is>
      </c>
      <c r="G3" t="n">
        <v>820</v>
      </c>
      <c r="H3" t="n">
        <v>816</v>
      </c>
      <c r="I3" t="n">
        <v>31</v>
      </c>
      <c r="J3" t="n">
        <v>781</v>
      </c>
      <c r="K3" t="n">
        <v>45.1</v>
      </c>
      <c r="L3" t="inlineStr">
        <is>
          <t>No</t>
        </is>
      </c>
      <c r="M3" t="inlineStr">
        <is>
          <t>Normal variation</t>
        </is>
      </c>
      <c r="N3" s="2">
        <f>I3/H3</f>
        <v/>
      </c>
      <c r="O3" s="2">
        <f>J3/H3</f>
        <v/>
      </c>
      <c r="P3">
        <f>H3-G3</f>
        <v/>
      </c>
      <c r="Q3">
        <f>IF(N3&gt;0.04,"High",IF(N3&gt;0.03,"Medium","Low"))</f>
        <v/>
      </c>
    </row>
    <row r="4">
      <c r="A4" t="inlineStr">
        <is>
          <t>NM-01-13</t>
        </is>
      </c>
      <c r="B4" t="inlineStr">
        <is>
          <t>2026-07-06</t>
        </is>
      </c>
      <c r="C4" t="inlineStr">
        <is>
          <t>North Assembly</t>
        </is>
      </c>
      <c r="D4" t="inlineStr">
        <is>
          <t>Infotainment Harness</t>
        </is>
      </c>
      <c r="E4" t="inlineStr">
        <is>
          <t>Night</t>
        </is>
      </c>
      <c r="F4" t="inlineStr">
        <is>
          <t>Blue Harbor Components</t>
        </is>
      </c>
      <c r="G4" t="n">
        <v>981</v>
      </c>
      <c r="H4" t="n">
        <v>888</v>
      </c>
      <c r="I4" t="n">
        <v>34</v>
      </c>
      <c r="J4" t="n">
        <v>812</v>
      </c>
      <c r="K4" t="n">
        <v>39.9</v>
      </c>
      <c r="L4" t="inlineStr">
        <is>
          <t>No</t>
        </is>
      </c>
      <c r="M4" t="inlineStr">
        <is>
          <t>Normal variation</t>
        </is>
      </c>
      <c r="N4" s="2">
        <f>I4/H4</f>
        <v/>
      </c>
      <c r="O4" s="2">
        <f>J4/H4</f>
        <v/>
      </c>
      <c r="P4">
        <f>H4-G4</f>
        <v/>
      </c>
      <c r="Q4">
        <f>IF(N4&gt;0.04,"High",IF(N4&gt;0.03,"Medium","Low"))</f>
        <v/>
      </c>
    </row>
    <row r="5">
      <c r="A5" t="inlineStr">
        <is>
          <t>NM-01-14</t>
        </is>
      </c>
      <c r="B5" t="inlineStr">
        <is>
          <t>2026-07-06</t>
        </is>
      </c>
      <c r="C5" t="inlineStr">
        <is>
          <t>North Assembly</t>
        </is>
      </c>
      <c r="D5" t="inlineStr">
        <is>
          <t>Drive Unit Housing</t>
        </is>
      </c>
      <c r="E5" t="inlineStr">
        <is>
          <t>Night</t>
        </is>
      </c>
      <c r="F5" t="inlineStr">
        <is>
          <t>Vector Embedded</t>
        </is>
      </c>
      <c r="G5" t="n">
        <v>1056</v>
      </c>
      <c r="H5" t="n">
        <v>1001</v>
      </c>
      <c r="I5" t="n">
        <v>37</v>
      </c>
      <c r="J5" t="n">
        <v>898</v>
      </c>
      <c r="K5" t="n">
        <v>32.2</v>
      </c>
      <c r="L5" t="inlineStr">
        <is>
          <t>No</t>
        </is>
      </c>
      <c r="M5" t="inlineStr">
        <is>
          <t>Normal variation</t>
        </is>
      </c>
      <c r="N5" s="2">
        <f>I5/H5</f>
        <v/>
      </c>
      <c r="O5" s="2">
        <f>J5/H5</f>
        <v/>
      </c>
      <c r="P5">
        <f>H5-G5</f>
        <v/>
      </c>
      <c r="Q5">
        <f>IF(N5&gt;0.04,"High",IF(N5&gt;0.03,"Medium","Low"))</f>
        <v/>
      </c>
    </row>
    <row r="6">
      <c r="A6" t="inlineStr">
        <is>
          <t>NM-01-21</t>
        </is>
      </c>
      <c r="B6" t="inlineStr">
        <is>
          <t>2026-07-06</t>
        </is>
      </c>
      <c r="C6" t="inlineStr">
        <is>
          <t>River Rouge Pilot</t>
        </is>
      </c>
      <c r="D6" t="inlineStr">
        <is>
          <t>Sensor Module</t>
        </is>
      </c>
      <c r="E6" t="inlineStr">
        <is>
          <t>Swing</t>
        </is>
      </c>
      <c r="F6" t="inlineStr">
        <is>
          <t>Vector Embedded</t>
        </is>
      </c>
      <c r="G6" t="n">
        <v>1205</v>
      </c>
      <c r="H6" t="n">
        <v>1095</v>
      </c>
      <c r="I6" t="n">
        <v>20</v>
      </c>
      <c r="J6" t="n">
        <v>966</v>
      </c>
      <c r="K6" t="n">
        <v>58.6</v>
      </c>
      <c r="L6" t="inlineStr">
        <is>
          <t>No</t>
        </is>
      </c>
      <c r="M6" t="inlineStr">
        <is>
          <t>Normal variation</t>
        </is>
      </c>
      <c r="N6" s="2">
        <f>I6/H6</f>
        <v/>
      </c>
      <c r="O6" s="2">
        <f>J6/H6</f>
        <v/>
      </c>
      <c r="P6">
        <f>H6-G6</f>
        <v/>
      </c>
      <c r="Q6">
        <f>IF(N6&gt;0.04,"High",IF(N6&gt;0.03,"Medium","Low"))</f>
        <v/>
      </c>
    </row>
    <row r="7">
      <c r="A7" t="inlineStr">
        <is>
          <t>NM-01-22</t>
        </is>
      </c>
      <c r="B7" t="inlineStr">
        <is>
          <t>2026-07-06</t>
        </is>
      </c>
      <c r="C7" t="inlineStr">
        <is>
          <t>River Rouge Pilot</t>
        </is>
      </c>
      <c r="D7" t="inlineStr">
        <is>
          <t>Battery Controller</t>
        </is>
      </c>
      <c r="E7" t="inlineStr">
        <is>
          <t>Day</t>
        </is>
      </c>
      <c r="F7" t="inlineStr">
        <is>
          <t>Blue Harbor Components</t>
        </is>
      </c>
      <c r="G7" t="n">
        <v>1234</v>
      </c>
      <c r="H7" t="n">
        <v>1152</v>
      </c>
      <c r="I7" t="n">
        <v>35</v>
      </c>
      <c r="J7" t="n">
        <v>1050</v>
      </c>
      <c r="K7" t="n">
        <v>53.4</v>
      </c>
      <c r="L7" t="inlineStr">
        <is>
          <t>No</t>
        </is>
      </c>
      <c r="M7" t="inlineStr">
        <is>
          <t>Normal variation</t>
        </is>
      </c>
      <c r="N7" s="2">
        <f>I7/H7</f>
        <v/>
      </c>
      <c r="O7" s="2">
        <f>J7/H7</f>
        <v/>
      </c>
      <c r="P7">
        <f>H7-G7</f>
        <v/>
      </c>
      <c r="Q7">
        <f>IF(N7&gt;0.04,"High",IF(N7&gt;0.03,"Medium","Low"))</f>
        <v/>
      </c>
    </row>
    <row r="8">
      <c r="A8" t="inlineStr">
        <is>
          <t>NM-01-23</t>
        </is>
      </c>
      <c r="B8" t="inlineStr">
        <is>
          <t>2026-07-06</t>
        </is>
      </c>
      <c r="C8" t="inlineStr">
        <is>
          <t>River Rouge Pilot</t>
        </is>
      </c>
      <c r="D8" t="inlineStr">
        <is>
          <t>Infotainment Harness</t>
        </is>
      </c>
      <c r="E8" t="inlineStr">
        <is>
          <t>Swing</t>
        </is>
      </c>
      <c r="F8" t="inlineStr">
        <is>
          <t>Pioneer Circuit Works</t>
        </is>
      </c>
      <c r="G8" t="n">
        <v>1271</v>
      </c>
      <c r="H8" t="n">
        <v>1294</v>
      </c>
      <c r="I8" t="n">
        <v>44</v>
      </c>
      <c r="J8" t="n">
        <v>1155</v>
      </c>
      <c r="K8" t="n">
        <v>51.6</v>
      </c>
      <c r="L8" t="inlineStr">
        <is>
          <t>No</t>
        </is>
      </c>
      <c r="M8" t="inlineStr">
        <is>
          <t>Normal variation</t>
        </is>
      </c>
      <c r="N8" s="2">
        <f>I8/H8</f>
        <v/>
      </c>
      <c r="O8" s="2">
        <f>J8/H8</f>
        <v/>
      </c>
      <c r="P8">
        <f>H8-G8</f>
        <v/>
      </c>
      <c r="Q8">
        <f>IF(N8&gt;0.04,"High",IF(N8&gt;0.03,"Medium","Low"))</f>
        <v/>
      </c>
    </row>
    <row r="9">
      <c r="A9" t="inlineStr">
        <is>
          <t>NM-01-24</t>
        </is>
      </c>
      <c r="B9" t="inlineStr">
        <is>
          <t>2026-07-06</t>
        </is>
      </c>
      <c r="C9" t="inlineStr">
        <is>
          <t>River Rouge Pilot</t>
        </is>
      </c>
      <c r="D9" t="inlineStr">
        <is>
          <t>Drive Unit Housing</t>
        </is>
      </c>
      <c r="E9" t="inlineStr">
        <is>
          <t>Swing</t>
        </is>
      </c>
      <c r="F9" t="inlineStr">
        <is>
          <t>Blue Harbor Components</t>
        </is>
      </c>
      <c r="G9" t="n">
        <v>1131</v>
      </c>
      <c r="H9" t="n">
        <v>1072</v>
      </c>
      <c r="I9" t="n">
        <v>28</v>
      </c>
      <c r="J9" t="n">
        <v>981</v>
      </c>
      <c r="K9" t="n">
        <v>60.5</v>
      </c>
      <c r="L9" t="inlineStr">
        <is>
          <t>No</t>
        </is>
      </c>
      <c r="M9" t="inlineStr">
        <is>
          <t>Normal variation</t>
        </is>
      </c>
      <c r="N9" s="2">
        <f>I9/H9</f>
        <v/>
      </c>
      <c r="O9" s="2">
        <f>J9/H9</f>
        <v/>
      </c>
      <c r="P9">
        <f>H9-G9</f>
        <v/>
      </c>
      <c r="Q9">
        <f>IF(N9&gt;0.04,"High",IF(N9&gt;0.03,"Medium","Low"))</f>
        <v/>
      </c>
    </row>
    <row r="10">
      <c r="A10" t="inlineStr">
        <is>
          <t>NM-01-31</t>
        </is>
      </c>
      <c r="B10" t="inlineStr">
        <is>
          <t>2026-07-06</t>
        </is>
      </c>
      <c r="C10" t="inlineStr">
        <is>
          <t>Lakeside Components</t>
        </is>
      </c>
      <c r="D10" t="inlineStr">
        <is>
          <t>Sensor Module</t>
        </is>
      </c>
      <c r="E10" t="inlineStr">
        <is>
          <t>Day</t>
        </is>
      </c>
      <c r="F10" t="inlineStr">
        <is>
          <t>Pioneer Circuit Works</t>
        </is>
      </c>
      <c r="G10" t="n">
        <v>829</v>
      </c>
      <c r="H10" t="n">
        <v>845</v>
      </c>
      <c r="I10" t="n">
        <v>19</v>
      </c>
      <c r="J10" t="n">
        <v>769</v>
      </c>
      <c r="K10" t="n">
        <v>49.6</v>
      </c>
      <c r="L10" t="inlineStr">
        <is>
          <t>No</t>
        </is>
      </c>
      <c r="M10" t="inlineStr">
        <is>
          <t>Normal variation</t>
        </is>
      </c>
      <c r="N10" s="2">
        <f>I10/H10</f>
        <v/>
      </c>
      <c r="O10" s="2">
        <f>J10/H10</f>
        <v/>
      </c>
      <c r="P10">
        <f>H10-G10</f>
        <v/>
      </c>
      <c r="Q10">
        <f>IF(N10&gt;0.04,"High",IF(N10&gt;0.03,"Medium","Low"))</f>
        <v/>
      </c>
    </row>
    <row r="11">
      <c r="A11" t="inlineStr">
        <is>
          <t>NM-01-32</t>
        </is>
      </c>
      <c r="B11" t="inlineStr">
        <is>
          <t>2026-07-06</t>
        </is>
      </c>
      <c r="C11" t="inlineStr">
        <is>
          <t>Lakeside Components</t>
        </is>
      </c>
      <c r="D11" t="inlineStr">
        <is>
          <t>Battery Controller</t>
        </is>
      </c>
      <c r="E11" t="inlineStr">
        <is>
          <t>Night</t>
        </is>
      </c>
      <c r="F11" t="inlineStr">
        <is>
          <t>Pioneer Circuit Works</t>
        </is>
      </c>
      <c r="G11" t="n">
        <v>939</v>
      </c>
      <c r="H11" t="n">
        <v>957</v>
      </c>
      <c r="I11" t="n">
        <v>32</v>
      </c>
      <c r="J11" t="n">
        <v>866</v>
      </c>
      <c r="K11" t="n">
        <v>54.3</v>
      </c>
      <c r="L11" t="inlineStr">
        <is>
          <t>No</t>
        </is>
      </c>
      <c r="M11" t="inlineStr">
        <is>
          <t>Normal variation</t>
        </is>
      </c>
      <c r="N11" s="2">
        <f>I11/H11</f>
        <v/>
      </c>
      <c r="O11" s="2">
        <f>J11/H11</f>
        <v/>
      </c>
      <c r="P11">
        <f>H11-G11</f>
        <v/>
      </c>
      <c r="Q11">
        <f>IF(N11&gt;0.04,"High",IF(N11&gt;0.03,"Medium","Low"))</f>
        <v/>
      </c>
    </row>
    <row r="12">
      <c r="A12" t="inlineStr">
        <is>
          <t>NM-01-33</t>
        </is>
      </c>
      <c r="B12" t="inlineStr">
        <is>
          <t>2026-07-06</t>
        </is>
      </c>
      <c r="C12" t="inlineStr">
        <is>
          <t>Lakeside Components</t>
        </is>
      </c>
      <c r="D12" t="inlineStr">
        <is>
          <t>Infotainment Harness</t>
        </is>
      </c>
      <c r="E12" t="inlineStr">
        <is>
          <t>Night</t>
        </is>
      </c>
      <c r="F12" t="inlineStr">
        <is>
          <t>Pioneer Circuit Works</t>
        </is>
      </c>
      <c r="G12" t="n">
        <v>1266</v>
      </c>
      <c r="H12" t="n">
        <v>1157</v>
      </c>
      <c r="I12" t="n">
        <v>47</v>
      </c>
      <c r="J12" t="n">
        <v>1027</v>
      </c>
      <c r="K12" t="n">
        <v>48.3</v>
      </c>
      <c r="L12" t="inlineStr">
        <is>
          <t>No</t>
        </is>
      </c>
      <c r="M12" t="inlineStr">
        <is>
          <t>Review supplier batch</t>
        </is>
      </c>
      <c r="N12" s="2">
        <f>I12/H12</f>
        <v/>
      </c>
      <c r="O12" s="2">
        <f>J12/H12</f>
        <v/>
      </c>
      <c r="P12">
        <f>H12-G12</f>
        <v/>
      </c>
      <c r="Q12">
        <f>IF(N12&gt;0.04,"High",IF(N12&gt;0.03,"Medium","Low"))</f>
        <v/>
      </c>
    </row>
    <row r="13">
      <c r="A13" t="inlineStr">
        <is>
          <t>NM-01-34</t>
        </is>
      </c>
      <c r="B13" t="inlineStr">
        <is>
          <t>2026-07-06</t>
        </is>
      </c>
      <c r="C13" t="inlineStr">
        <is>
          <t>Lakeside Components</t>
        </is>
      </c>
      <c r="D13" t="inlineStr">
        <is>
          <t>Drive Unit Housing</t>
        </is>
      </c>
      <c r="E13" t="inlineStr">
        <is>
          <t>Night</t>
        </is>
      </c>
      <c r="F13" t="inlineStr">
        <is>
          <t>Blue Harbor Components</t>
        </is>
      </c>
      <c r="G13" t="n">
        <v>1252</v>
      </c>
      <c r="H13" t="n">
        <v>1262</v>
      </c>
      <c r="I13" t="n">
        <v>27</v>
      </c>
      <c r="J13" t="n">
        <v>1233</v>
      </c>
      <c r="K13" t="n">
        <v>43.6</v>
      </c>
      <c r="L13" t="inlineStr">
        <is>
          <t>No</t>
        </is>
      </c>
      <c r="M13" t="inlineStr">
        <is>
          <t>Normal variation</t>
        </is>
      </c>
      <c r="N13" s="2">
        <f>I13/H13</f>
        <v/>
      </c>
      <c r="O13" s="2">
        <f>J13/H13</f>
        <v/>
      </c>
      <c r="P13">
        <f>H13-G13</f>
        <v/>
      </c>
      <c r="Q13">
        <f>IF(N13&gt;0.04,"High",IF(N13&gt;0.03,"Medium","Low"))</f>
        <v/>
      </c>
    </row>
    <row r="14">
      <c r="A14" t="inlineStr">
        <is>
          <t>NM-01-41</t>
        </is>
      </c>
      <c r="B14" t="inlineStr">
        <is>
          <t>2026-07-06</t>
        </is>
      </c>
      <c r="C14" t="inlineStr">
        <is>
          <t>Metro EV Systems</t>
        </is>
      </c>
      <c r="D14" t="inlineStr">
        <is>
          <t>Sensor Module</t>
        </is>
      </c>
      <c r="E14" t="inlineStr">
        <is>
          <t>Day</t>
        </is>
      </c>
      <c r="F14" t="inlineStr">
        <is>
          <t>Cedar Forge</t>
        </is>
      </c>
      <c r="G14" t="n">
        <v>1111</v>
      </c>
      <c r="H14" t="n">
        <v>1080</v>
      </c>
      <c r="I14" t="n">
        <v>41</v>
      </c>
      <c r="J14" t="n">
        <v>1058</v>
      </c>
      <c r="K14" t="n">
        <v>62.7</v>
      </c>
      <c r="L14" t="inlineStr">
        <is>
          <t>No</t>
        </is>
      </c>
      <c r="M14" t="inlineStr">
        <is>
          <t>Normal variation</t>
        </is>
      </c>
      <c r="N14" s="2">
        <f>I14/H14</f>
        <v/>
      </c>
      <c r="O14" s="2">
        <f>J14/H14</f>
        <v/>
      </c>
      <c r="P14">
        <f>H14-G14</f>
        <v/>
      </c>
      <c r="Q14">
        <f>IF(N14&gt;0.04,"High",IF(N14&gt;0.03,"Medium","Low"))</f>
        <v/>
      </c>
    </row>
    <row r="15">
      <c r="A15" t="inlineStr">
        <is>
          <t>NM-01-42</t>
        </is>
      </c>
      <c r="B15" t="inlineStr">
        <is>
          <t>2026-07-06</t>
        </is>
      </c>
      <c r="C15" t="inlineStr">
        <is>
          <t>Metro EV Systems</t>
        </is>
      </c>
      <c r="D15" t="inlineStr">
        <is>
          <t>Battery Controller</t>
        </is>
      </c>
      <c r="E15" t="inlineStr">
        <is>
          <t>Night</t>
        </is>
      </c>
      <c r="F15" t="inlineStr">
        <is>
          <t>Vector Embedded</t>
        </is>
      </c>
      <c r="G15" t="n">
        <v>1006</v>
      </c>
      <c r="H15" t="n">
        <v>976</v>
      </c>
      <c r="I15" t="n">
        <v>24</v>
      </c>
      <c r="J15" t="n">
        <v>900</v>
      </c>
      <c r="K15" t="n">
        <v>48.2</v>
      </c>
      <c r="L15" t="inlineStr">
        <is>
          <t>No</t>
        </is>
      </c>
      <c r="M15" t="inlineStr">
        <is>
          <t>Normal variation</t>
        </is>
      </c>
      <c r="N15" s="2">
        <f>I15/H15</f>
        <v/>
      </c>
      <c r="O15" s="2">
        <f>J15/H15</f>
        <v/>
      </c>
      <c r="P15">
        <f>H15-G15</f>
        <v/>
      </c>
      <c r="Q15">
        <f>IF(N15&gt;0.04,"High",IF(N15&gt;0.03,"Medium","Low"))</f>
        <v/>
      </c>
    </row>
    <row r="16">
      <c r="A16" t="inlineStr">
        <is>
          <t>NM-01-43</t>
        </is>
      </c>
      <c r="B16" t="inlineStr">
        <is>
          <t>2026-07-06</t>
        </is>
      </c>
      <c r="C16" t="inlineStr">
        <is>
          <t>Metro EV Systems</t>
        </is>
      </c>
      <c r="D16" t="inlineStr">
        <is>
          <t>Infotainment Harness</t>
        </is>
      </c>
      <c r="E16" t="inlineStr">
        <is>
          <t>Night</t>
        </is>
      </c>
      <c r="F16" t="inlineStr">
        <is>
          <t>Vector Embedded</t>
        </is>
      </c>
      <c r="G16" t="n">
        <v>1226</v>
      </c>
      <c r="H16" t="n">
        <v>1226</v>
      </c>
      <c r="I16" t="n">
        <v>38</v>
      </c>
      <c r="J16" t="n">
        <v>1178</v>
      </c>
      <c r="K16" t="n">
        <v>55.3</v>
      </c>
      <c r="L16" t="inlineStr">
        <is>
          <t>Yes</t>
        </is>
      </c>
      <c r="M16" t="inlineStr">
        <is>
          <t>Normal variation</t>
        </is>
      </c>
      <c r="N16" s="2">
        <f>I16/H16</f>
        <v/>
      </c>
      <c r="O16" s="2">
        <f>J16/H16</f>
        <v/>
      </c>
      <c r="P16">
        <f>H16-G16</f>
        <v/>
      </c>
      <c r="Q16">
        <f>IF(N16&gt;0.04,"High",IF(N16&gt;0.03,"Medium","Low"))</f>
        <v/>
      </c>
    </row>
    <row r="17">
      <c r="A17" t="inlineStr">
        <is>
          <t>NM-01-44</t>
        </is>
      </c>
      <c r="B17" t="inlineStr">
        <is>
          <t>2026-07-06</t>
        </is>
      </c>
      <c r="C17" t="inlineStr">
        <is>
          <t>Metro EV Systems</t>
        </is>
      </c>
      <c r="D17" t="inlineStr">
        <is>
          <t>Drive Unit Housing</t>
        </is>
      </c>
      <c r="E17" t="inlineStr">
        <is>
          <t>Night</t>
        </is>
      </c>
      <c r="F17" t="inlineStr">
        <is>
          <t>Pioneer Circuit Works</t>
        </is>
      </c>
      <c r="G17" t="n">
        <v>1015</v>
      </c>
      <c r="H17" t="n">
        <v>991</v>
      </c>
      <c r="I17" t="n">
        <v>28</v>
      </c>
      <c r="J17" t="n">
        <v>928</v>
      </c>
      <c r="K17" t="n">
        <v>32.9</v>
      </c>
      <c r="L17" t="inlineStr">
        <is>
          <t>No</t>
        </is>
      </c>
      <c r="M17" t="inlineStr">
        <is>
          <t>Normal variation</t>
        </is>
      </c>
      <c r="N17" s="2">
        <f>I17/H17</f>
        <v/>
      </c>
      <c r="O17" s="2">
        <f>J17/H17</f>
        <v/>
      </c>
      <c r="P17">
        <f>H17-G17</f>
        <v/>
      </c>
      <c r="Q17">
        <f>IF(N17&gt;0.04,"High",IF(N17&gt;0.03,"Medium","Low"))</f>
        <v/>
      </c>
    </row>
    <row r="18">
      <c r="A18" t="inlineStr">
        <is>
          <t>NM-02-11</t>
        </is>
      </c>
      <c r="B18" t="inlineStr">
        <is>
          <t>2026-07-13</t>
        </is>
      </c>
      <c r="C18" t="inlineStr">
        <is>
          <t>North Assembly</t>
        </is>
      </c>
      <c r="D18" t="inlineStr">
        <is>
          <t>Sensor Module</t>
        </is>
      </c>
      <c r="E18" t="inlineStr">
        <is>
          <t>Swing</t>
        </is>
      </c>
      <c r="F18" t="inlineStr">
        <is>
          <t>Vector Embedded</t>
        </is>
      </c>
      <c r="G18" t="n">
        <v>1113</v>
      </c>
      <c r="H18" t="n">
        <v>1071</v>
      </c>
      <c r="I18" t="n">
        <v>24</v>
      </c>
      <c r="J18" t="n">
        <v>1047</v>
      </c>
      <c r="K18" t="n">
        <v>41.1</v>
      </c>
      <c r="L18" t="inlineStr">
        <is>
          <t>No</t>
        </is>
      </c>
      <c r="M18" t="inlineStr">
        <is>
          <t>Normal variation</t>
        </is>
      </c>
      <c r="N18" s="2">
        <f>I18/H18</f>
        <v/>
      </c>
      <c r="O18" s="2">
        <f>J18/H18</f>
        <v/>
      </c>
      <c r="P18">
        <f>H18-G18</f>
        <v/>
      </c>
      <c r="Q18">
        <f>IF(N18&gt;0.04,"High",IF(N18&gt;0.03,"Medium","Low"))</f>
        <v/>
      </c>
    </row>
    <row r="19">
      <c r="A19" t="inlineStr">
        <is>
          <t>NM-02-12</t>
        </is>
      </c>
      <c r="B19" t="inlineStr">
        <is>
          <t>2026-07-13</t>
        </is>
      </c>
      <c r="C19" t="inlineStr">
        <is>
          <t>North Assembly</t>
        </is>
      </c>
      <c r="D19" t="inlineStr">
        <is>
          <t>Battery Controller</t>
        </is>
      </c>
      <c r="E19" t="inlineStr">
        <is>
          <t>Swing</t>
        </is>
      </c>
      <c r="F19" t="inlineStr">
        <is>
          <t>Cedar Forge</t>
        </is>
      </c>
      <c r="G19" t="n">
        <v>1005</v>
      </c>
      <c r="H19" t="n">
        <v>1016</v>
      </c>
      <c r="I19" t="n">
        <v>33</v>
      </c>
      <c r="J19" t="n">
        <v>977</v>
      </c>
      <c r="K19" t="n">
        <v>28.8</v>
      </c>
      <c r="L19" t="inlineStr">
        <is>
          <t>No</t>
        </is>
      </c>
      <c r="M19" t="inlineStr">
        <is>
          <t>Normal variation</t>
        </is>
      </c>
      <c r="N19" s="2">
        <f>I19/H19</f>
        <v/>
      </c>
      <c r="O19" s="2">
        <f>J19/H19</f>
        <v/>
      </c>
      <c r="P19">
        <f>H19-G19</f>
        <v/>
      </c>
      <c r="Q19">
        <f>IF(N19&gt;0.04,"High",IF(N19&gt;0.03,"Medium","Low"))</f>
        <v/>
      </c>
    </row>
    <row r="20">
      <c r="A20" t="inlineStr">
        <is>
          <t>NM-02-13</t>
        </is>
      </c>
      <c r="B20" t="inlineStr">
        <is>
          <t>2026-07-13</t>
        </is>
      </c>
      <c r="C20" t="inlineStr">
        <is>
          <t>North Assembly</t>
        </is>
      </c>
      <c r="D20" t="inlineStr">
        <is>
          <t>Infotainment Harness</t>
        </is>
      </c>
      <c r="E20" t="inlineStr">
        <is>
          <t>Swing</t>
        </is>
      </c>
      <c r="F20" t="inlineStr">
        <is>
          <t>Pioneer Circuit Works</t>
        </is>
      </c>
      <c r="G20" t="n">
        <v>966</v>
      </c>
      <c r="H20" t="n">
        <v>966</v>
      </c>
      <c r="I20" t="n">
        <v>40</v>
      </c>
      <c r="J20" t="n">
        <v>903</v>
      </c>
      <c r="K20" t="n">
        <v>38</v>
      </c>
      <c r="L20" t="inlineStr">
        <is>
          <t>No</t>
        </is>
      </c>
      <c r="M20" t="inlineStr">
        <is>
          <t>Review supplier batch</t>
        </is>
      </c>
      <c r="N20" s="2">
        <f>I20/H20</f>
        <v/>
      </c>
      <c r="O20" s="2">
        <f>J20/H20</f>
        <v/>
      </c>
      <c r="P20">
        <f>H20-G20</f>
        <v/>
      </c>
      <c r="Q20">
        <f>IF(N20&gt;0.04,"High",IF(N20&gt;0.03,"Medium","Low"))</f>
        <v/>
      </c>
    </row>
    <row r="21">
      <c r="A21" t="inlineStr">
        <is>
          <t>NM-02-14</t>
        </is>
      </c>
      <c r="B21" t="inlineStr">
        <is>
          <t>2026-07-13</t>
        </is>
      </c>
      <c r="C21" t="inlineStr">
        <is>
          <t>North Assembly</t>
        </is>
      </c>
      <c r="D21" t="inlineStr">
        <is>
          <t>Drive Unit Housing</t>
        </is>
      </c>
      <c r="E21" t="inlineStr">
        <is>
          <t>Swing</t>
        </is>
      </c>
      <c r="F21" t="inlineStr">
        <is>
          <t>Pioneer Circuit Works</t>
        </is>
      </c>
      <c r="G21" t="n">
        <v>1193</v>
      </c>
      <c r="H21" t="n">
        <v>1115</v>
      </c>
      <c r="I21" t="n">
        <v>23</v>
      </c>
      <c r="J21" t="n">
        <v>1040</v>
      </c>
      <c r="K21" t="n">
        <v>62.3</v>
      </c>
      <c r="L21" t="inlineStr">
        <is>
          <t>No</t>
        </is>
      </c>
      <c r="M21" t="inlineStr">
        <is>
          <t>Normal variation</t>
        </is>
      </c>
      <c r="N21" s="2">
        <f>I21/H21</f>
        <v/>
      </c>
      <c r="O21" s="2">
        <f>J21/H21</f>
        <v/>
      </c>
      <c r="P21">
        <f>H21-G21</f>
        <v/>
      </c>
      <c r="Q21">
        <f>IF(N21&gt;0.04,"High",IF(N21&gt;0.03,"Medium","Low"))</f>
        <v/>
      </c>
    </row>
    <row r="22">
      <c r="A22" t="inlineStr">
        <is>
          <t>NM-02-21</t>
        </is>
      </c>
      <c r="B22" t="inlineStr">
        <is>
          <t>2026-07-13</t>
        </is>
      </c>
      <c r="C22" t="inlineStr">
        <is>
          <t>River Rouge Pilot</t>
        </is>
      </c>
      <c r="D22" t="inlineStr">
        <is>
          <t>Sensor Module</t>
        </is>
      </c>
      <c r="E22" t="inlineStr">
        <is>
          <t>Night</t>
        </is>
      </c>
      <c r="F22" t="inlineStr">
        <is>
          <t>Vector Embedded</t>
        </is>
      </c>
      <c r="G22" t="n">
        <v>974</v>
      </c>
      <c r="H22" t="n">
        <v>903</v>
      </c>
      <c r="I22" t="n">
        <v>19</v>
      </c>
      <c r="J22" t="n">
        <v>855</v>
      </c>
      <c r="K22" t="n">
        <v>31.6</v>
      </c>
      <c r="L22" t="inlineStr">
        <is>
          <t>No</t>
        </is>
      </c>
      <c r="M22" t="inlineStr">
        <is>
          <t>Normal variation</t>
        </is>
      </c>
      <c r="N22" s="2">
        <f>I22/H22</f>
        <v/>
      </c>
      <c r="O22" s="2">
        <f>J22/H22</f>
        <v/>
      </c>
      <c r="P22">
        <f>H22-G22</f>
        <v/>
      </c>
      <c r="Q22">
        <f>IF(N22&gt;0.04,"High",IF(N22&gt;0.03,"Medium","Low"))</f>
        <v/>
      </c>
    </row>
    <row r="23">
      <c r="A23" t="inlineStr">
        <is>
          <t>NM-02-22</t>
        </is>
      </c>
      <c r="B23" t="inlineStr">
        <is>
          <t>2026-07-13</t>
        </is>
      </c>
      <c r="C23" t="inlineStr">
        <is>
          <t>River Rouge Pilot</t>
        </is>
      </c>
      <c r="D23" t="inlineStr">
        <is>
          <t>Battery Controller</t>
        </is>
      </c>
      <c r="E23" t="inlineStr">
        <is>
          <t>Day</t>
        </is>
      </c>
      <c r="F23" t="inlineStr">
        <is>
          <t>Summit Plastics</t>
        </is>
      </c>
      <c r="G23" t="n">
        <v>1015</v>
      </c>
      <c r="H23" t="n">
        <v>914</v>
      </c>
      <c r="I23" t="n">
        <v>17</v>
      </c>
      <c r="J23" t="n">
        <v>840</v>
      </c>
      <c r="K23" t="n">
        <v>37.5</v>
      </c>
      <c r="L23" t="inlineStr">
        <is>
          <t>No</t>
        </is>
      </c>
      <c r="M23" t="inlineStr">
        <is>
          <t>Normal variation</t>
        </is>
      </c>
      <c r="N23" s="2">
        <f>I23/H23</f>
        <v/>
      </c>
      <c r="O23" s="2">
        <f>J23/H23</f>
        <v/>
      </c>
      <c r="P23">
        <f>H23-G23</f>
        <v/>
      </c>
      <c r="Q23">
        <f>IF(N23&gt;0.04,"High",IF(N23&gt;0.03,"Medium","Low"))</f>
        <v/>
      </c>
    </row>
    <row r="24">
      <c r="A24" t="inlineStr">
        <is>
          <t>NM-02-23</t>
        </is>
      </c>
      <c r="B24" t="inlineStr">
        <is>
          <t>2026-07-13</t>
        </is>
      </c>
      <c r="C24" t="inlineStr">
        <is>
          <t>River Rouge Pilot</t>
        </is>
      </c>
      <c r="D24" t="inlineStr">
        <is>
          <t>Infotainment Harness</t>
        </is>
      </c>
      <c r="E24" t="inlineStr">
        <is>
          <t>Swing</t>
        </is>
      </c>
      <c r="F24" t="inlineStr">
        <is>
          <t>Cedar Forge</t>
        </is>
      </c>
      <c r="G24" t="n">
        <v>841</v>
      </c>
      <c r="H24" t="n">
        <v>868</v>
      </c>
      <c r="I24" t="n">
        <v>17</v>
      </c>
      <c r="J24" t="n">
        <v>845</v>
      </c>
      <c r="K24" t="n">
        <v>54.9</v>
      </c>
      <c r="L24" t="inlineStr">
        <is>
          <t>No</t>
        </is>
      </c>
      <c r="M24" t="inlineStr">
        <is>
          <t>Normal variation</t>
        </is>
      </c>
      <c r="N24" s="2">
        <f>I24/H24</f>
        <v/>
      </c>
      <c r="O24" s="2">
        <f>J24/H24</f>
        <v/>
      </c>
      <c r="P24">
        <f>H24-G24</f>
        <v/>
      </c>
      <c r="Q24">
        <f>IF(N24&gt;0.04,"High",IF(N24&gt;0.03,"Medium","Low"))</f>
        <v/>
      </c>
    </row>
    <row r="25">
      <c r="A25" t="inlineStr">
        <is>
          <t>NM-02-24</t>
        </is>
      </c>
      <c r="B25" t="inlineStr">
        <is>
          <t>2026-07-13</t>
        </is>
      </c>
      <c r="C25" t="inlineStr">
        <is>
          <t>River Rouge Pilot</t>
        </is>
      </c>
      <c r="D25" t="inlineStr">
        <is>
          <t>Drive Unit Housing</t>
        </is>
      </c>
      <c r="E25" t="inlineStr">
        <is>
          <t>Swing</t>
        </is>
      </c>
      <c r="F25" t="inlineStr">
        <is>
          <t>Blue Harbor Components</t>
        </is>
      </c>
      <c r="G25" t="n">
        <v>1176</v>
      </c>
      <c r="H25" t="n">
        <v>1215</v>
      </c>
      <c r="I25" t="n">
        <v>45</v>
      </c>
      <c r="J25" t="n">
        <v>1135</v>
      </c>
      <c r="K25" t="n">
        <v>46.7</v>
      </c>
      <c r="L25" t="inlineStr">
        <is>
          <t>No</t>
        </is>
      </c>
      <c r="M25" t="inlineStr">
        <is>
          <t>Normal variation</t>
        </is>
      </c>
      <c r="N25" s="2">
        <f>I25/H25</f>
        <v/>
      </c>
      <c r="O25" s="2">
        <f>J25/H25</f>
        <v/>
      </c>
      <c r="P25">
        <f>H25-G25</f>
        <v/>
      </c>
      <c r="Q25">
        <f>IF(N25&gt;0.04,"High",IF(N25&gt;0.03,"Medium","Low"))</f>
        <v/>
      </c>
    </row>
    <row r="26">
      <c r="A26" t="inlineStr">
        <is>
          <t>NM-02-31</t>
        </is>
      </c>
      <c r="B26" t="inlineStr">
        <is>
          <t>2026-07-13</t>
        </is>
      </c>
      <c r="C26" t="inlineStr">
        <is>
          <t>Lakeside Components</t>
        </is>
      </c>
      <c r="D26" t="inlineStr">
        <is>
          <t>Sensor Module</t>
        </is>
      </c>
      <c r="E26" t="inlineStr">
        <is>
          <t>Night</t>
        </is>
      </c>
      <c r="F26" t="inlineStr">
        <is>
          <t>Pioneer Circuit Works</t>
        </is>
      </c>
      <c r="G26" t="n">
        <v>961</v>
      </c>
      <c r="H26" t="n">
        <v>917</v>
      </c>
      <c r="I26" t="n">
        <v>37</v>
      </c>
      <c r="J26" t="n">
        <v>847</v>
      </c>
      <c r="K26" t="n">
        <v>57</v>
      </c>
      <c r="L26" t="inlineStr">
        <is>
          <t>No</t>
        </is>
      </c>
      <c r="M26" t="inlineStr">
        <is>
          <t>Review supplier batch</t>
        </is>
      </c>
      <c r="N26" s="2">
        <f>I26/H26</f>
        <v/>
      </c>
      <c r="O26" s="2">
        <f>J26/H26</f>
        <v/>
      </c>
      <c r="P26">
        <f>H26-G26</f>
        <v/>
      </c>
      <c r="Q26">
        <f>IF(N26&gt;0.04,"High",IF(N26&gt;0.03,"Medium","Low"))</f>
        <v/>
      </c>
    </row>
    <row r="27">
      <c r="A27" t="inlineStr">
        <is>
          <t>NM-02-32</t>
        </is>
      </c>
      <c r="B27" t="inlineStr">
        <is>
          <t>2026-07-13</t>
        </is>
      </c>
      <c r="C27" t="inlineStr">
        <is>
          <t>Lakeside Components</t>
        </is>
      </c>
      <c r="D27" t="inlineStr">
        <is>
          <t>Battery Controller</t>
        </is>
      </c>
      <c r="E27" t="inlineStr">
        <is>
          <t>Day</t>
        </is>
      </c>
      <c r="F27" t="inlineStr">
        <is>
          <t>Summit Plastics</t>
        </is>
      </c>
      <c r="G27" t="n">
        <v>1206</v>
      </c>
      <c r="H27" t="n">
        <v>1083</v>
      </c>
      <c r="I27" t="n">
        <v>36</v>
      </c>
      <c r="J27" t="n">
        <v>1037</v>
      </c>
      <c r="K27" t="n">
        <v>63.4</v>
      </c>
      <c r="L27" t="inlineStr">
        <is>
          <t>No</t>
        </is>
      </c>
      <c r="M27" t="inlineStr">
        <is>
          <t>Normal variation</t>
        </is>
      </c>
      <c r="N27" s="2">
        <f>I27/H27</f>
        <v/>
      </c>
      <c r="O27" s="2">
        <f>J27/H27</f>
        <v/>
      </c>
      <c r="P27">
        <f>H27-G27</f>
        <v/>
      </c>
      <c r="Q27">
        <f>IF(N27&gt;0.04,"High",IF(N27&gt;0.03,"Medium","Low"))</f>
        <v/>
      </c>
    </row>
    <row r="28">
      <c r="A28" t="inlineStr">
        <is>
          <t>NM-02-33</t>
        </is>
      </c>
      <c r="B28" t="inlineStr">
        <is>
          <t>2026-07-13</t>
        </is>
      </c>
      <c r="C28" t="inlineStr">
        <is>
          <t>Lakeside Components</t>
        </is>
      </c>
      <c r="D28" t="inlineStr">
        <is>
          <t>Infotainment Harness</t>
        </is>
      </c>
      <c r="E28" t="inlineStr">
        <is>
          <t>Night</t>
        </is>
      </c>
      <c r="F28" t="inlineStr">
        <is>
          <t>Pioneer Circuit Works</t>
        </is>
      </c>
      <c r="G28" t="n">
        <v>1039</v>
      </c>
      <c r="H28" t="n">
        <v>976</v>
      </c>
      <c r="I28" t="n">
        <v>17</v>
      </c>
      <c r="J28" t="n">
        <v>939</v>
      </c>
      <c r="K28" t="n">
        <v>38</v>
      </c>
      <c r="L28" t="inlineStr">
        <is>
          <t>No</t>
        </is>
      </c>
      <c r="M28" t="inlineStr">
        <is>
          <t>Normal variation</t>
        </is>
      </c>
      <c r="N28" s="2">
        <f>I28/H28</f>
        <v/>
      </c>
      <c r="O28" s="2">
        <f>J28/H28</f>
        <v/>
      </c>
      <c r="P28">
        <f>H28-G28</f>
        <v/>
      </c>
      <c r="Q28">
        <f>IF(N28&gt;0.04,"High",IF(N28&gt;0.03,"Medium","Low"))</f>
        <v/>
      </c>
    </row>
    <row r="29">
      <c r="A29" t="inlineStr">
        <is>
          <t>NM-02-34</t>
        </is>
      </c>
      <c r="B29" t="inlineStr">
        <is>
          <t>2026-07-13</t>
        </is>
      </c>
      <c r="C29" t="inlineStr">
        <is>
          <t>Lakeside Components</t>
        </is>
      </c>
      <c r="D29" t="inlineStr">
        <is>
          <t>Drive Unit Housing</t>
        </is>
      </c>
      <c r="E29" t="inlineStr">
        <is>
          <t>Night</t>
        </is>
      </c>
      <c r="F29" t="inlineStr">
        <is>
          <t>Vector Embedded</t>
        </is>
      </c>
      <c r="G29" t="n">
        <v>889</v>
      </c>
      <c r="H29" t="n">
        <v>906</v>
      </c>
      <c r="I29" t="n">
        <v>26</v>
      </c>
      <c r="J29" t="n">
        <v>820</v>
      </c>
      <c r="K29" t="n">
        <v>40.4</v>
      </c>
      <c r="L29" t="inlineStr">
        <is>
          <t>No</t>
        </is>
      </c>
      <c r="M29" t="inlineStr">
        <is>
          <t>Normal variation</t>
        </is>
      </c>
      <c r="N29" s="2">
        <f>I29/H29</f>
        <v/>
      </c>
      <c r="O29" s="2">
        <f>J29/H29</f>
        <v/>
      </c>
      <c r="P29">
        <f>H29-G29</f>
        <v/>
      </c>
      <c r="Q29">
        <f>IF(N29&gt;0.04,"High",IF(N29&gt;0.03,"Medium","Low"))</f>
        <v/>
      </c>
    </row>
    <row r="30">
      <c r="A30" t="inlineStr">
        <is>
          <t>NM-02-41</t>
        </is>
      </c>
      <c r="B30" t="inlineStr">
        <is>
          <t>2026-07-13</t>
        </is>
      </c>
      <c r="C30" t="inlineStr">
        <is>
          <t>Metro EV Systems</t>
        </is>
      </c>
      <c r="D30" t="inlineStr">
        <is>
          <t>Sensor Module</t>
        </is>
      </c>
      <c r="E30" t="inlineStr">
        <is>
          <t>Swing</t>
        </is>
      </c>
      <c r="F30" t="inlineStr">
        <is>
          <t>Vector Embedded</t>
        </is>
      </c>
      <c r="G30" t="n">
        <v>1053</v>
      </c>
      <c r="H30" t="n">
        <v>1026</v>
      </c>
      <c r="I30" t="n">
        <v>38</v>
      </c>
      <c r="J30" t="n">
        <v>967</v>
      </c>
      <c r="K30" t="n">
        <v>42.9</v>
      </c>
      <c r="L30" t="inlineStr">
        <is>
          <t>No</t>
        </is>
      </c>
      <c r="M30" t="inlineStr">
        <is>
          <t>Normal variation</t>
        </is>
      </c>
      <c r="N30" s="2">
        <f>I30/H30</f>
        <v/>
      </c>
      <c r="O30" s="2">
        <f>J30/H30</f>
        <v/>
      </c>
      <c r="P30">
        <f>H30-G30</f>
        <v/>
      </c>
      <c r="Q30">
        <f>IF(N30&gt;0.04,"High",IF(N30&gt;0.03,"Medium","Low"))</f>
        <v/>
      </c>
    </row>
    <row r="31">
      <c r="A31" t="inlineStr">
        <is>
          <t>NM-02-42</t>
        </is>
      </c>
      <c r="B31" t="inlineStr">
        <is>
          <t>2026-07-13</t>
        </is>
      </c>
      <c r="C31" t="inlineStr">
        <is>
          <t>Metro EV Systems</t>
        </is>
      </c>
      <c r="D31" t="inlineStr">
        <is>
          <t>Battery Controller</t>
        </is>
      </c>
      <c r="E31" t="inlineStr">
        <is>
          <t>Night</t>
        </is>
      </c>
      <c r="F31" t="inlineStr">
        <is>
          <t>Blue Harbor Components</t>
        </is>
      </c>
      <c r="G31" t="n">
        <v>1127</v>
      </c>
      <c r="H31" t="n">
        <v>1040</v>
      </c>
      <c r="I31" t="n">
        <v>41</v>
      </c>
      <c r="J31" t="n">
        <v>985</v>
      </c>
      <c r="K31" t="n">
        <v>47.5</v>
      </c>
      <c r="L31" t="inlineStr">
        <is>
          <t>No</t>
        </is>
      </c>
      <c r="M31" t="inlineStr">
        <is>
          <t>Normal variation</t>
        </is>
      </c>
      <c r="N31" s="2">
        <f>I31/H31</f>
        <v/>
      </c>
      <c r="O31" s="2">
        <f>J31/H31</f>
        <v/>
      </c>
      <c r="P31">
        <f>H31-G31</f>
        <v/>
      </c>
      <c r="Q31">
        <f>IF(N31&gt;0.04,"High",IF(N31&gt;0.03,"Medium","Low"))</f>
        <v/>
      </c>
    </row>
    <row r="32">
      <c r="A32" t="inlineStr">
        <is>
          <t>NM-02-43</t>
        </is>
      </c>
      <c r="B32" t="inlineStr">
        <is>
          <t>2026-07-13</t>
        </is>
      </c>
      <c r="C32" t="inlineStr">
        <is>
          <t>Metro EV Systems</t>
        </is>
      </c>
      <c r="D32" t="inlineStr">
        <is>
          <t>Infotainment Harness</t>
        </is>
      </c>
      <c r="E32" t="inlineStr">
        <is>
          <t>Night</t>
        </is>
      </c>
      <c r="F32" t="inlineStr">
        <is>
          <t>Vector Embedded</t>
        </is>
      </c>
      <c r="G32" t="n">
        <v>1124</v>
      </c>
      <c r="H32" t="n">
        <v>1112</v>
      </c>
      <c r="I32" t="n">
        <v>22</v>
      </c>
      <c r="J32" t="n">
        <v>1009</v>
      </c>
      <c r="K32" t="n">
        <v>56.2</v>
      </c>
      <c r="L32" t="inlineStr">
        <is>
          <t>No</t>
        </is>
      </c>
      <c r="M32" t="inlineStr">
        <is>
          <t>Normal variation</t>
        </is>
      </c>
      <c r="N32" s="2">
        <f>I32/H32</f>
        <v/>
      </c>
      <c r="O32" s="2">
        <f>J32/H32</f>
        <v/>
      </c>
      <c r="P32">
        <f>H32-G32</f>
        <v/>
      </c>
      <c r="Q32">
        <f>IF(N32&gt;0.04,"High",IF(N32&gt;0.03,"Medium","Low"))</f>
        <v/>
      </c>
    </row>
    <row r="33">
      <c r="A33" t="inlineStr">
        <is>
          <t>NM-02-44</t>
        </is>
      </c>
      <c r="B33" t="inlineStr">
        <is>
          <t>2026-07-13</t>
        </is>
      </c>
      <c r="C33" t="inlineStr">
        <is>
          <t>Metro EV Systems</t>
        </is>
      </c>
      <c r="D33" t="inlineStr">
        <is>
          <t>Drive Unit Housing</t>
        </is>
      </c>
      <c r="E33" t="inlineStr">
        <is>
          <t>Night</t>
        </is>
      </c>
      <c r="F33" t="inlineStr">
        <is>
          <t>Pioneer Circuit Works</t>
        </is>
      </c>
      <c r="G33" t="n">
        <v>1006</v>
      </c>
      <c r="H33" t="n">
        <v>910</v>
      </c>
      <c r="I33" t="n">
        <v>18</v>
      </c>
      <c r="J33" t="n">
        <v>837</v>
      </c>
      <c r="K33" t="n">
        <v>62.1</v>
      </c>
      <c r="L33" t="inlineStr">
        <is>
          <t>Yes</t>
        </is>
      </c>
      <c r="M33" t="inlineStr">
        <is>
          <t>Normal variation</t>
        </is>
      </c>
      <c r="N33" s="2">
        <f>I33/H33</f>
        <v/>
      </c>
      <c r="O33" s="2">
        <f>J33/H33</f>
        <v/>
      </c>
      <c r="P33">
        <f>H33-G33</f>
        <v/>
      </c>
      <c r="Q33">
        <f>IF(N33&gt;0.04,"High",IF(N33&gt;0.03,"Medium","Low"))</f>
        <v/>
      </c>
    </row>
    <row r="34">
      <c r="A34" t="inlineStr">
        <is>
          <t>NM-03-11</t>
        </is>
      </c>
      <c r="B34" t="inlineStr">
        <is>
          <t>2026-07-20</t>
        </is>
      </c>
      <c r="C34" t="inlineStr">
        <is>
          <t>North Assembly</t>
        </is>
      </c>
      <c r="D34" t="inlineStr">
        <is>
          <t>Sensor Module</t>
        </is>
      </c>
      <c r="E34" t="inlineStr">
        <is>
          <t>Swing</t>
        </is>
      </c>
      <c r="F34" t="inlineStr">
        <is>
          <t>Vector Embedded</t>
        </is>
      </c>
      <c r="G34" t="n">
        <v>1149</v>
      </c>
      <c r="H34" t="n">
        <v>1047</v>
      </c>
      <c r="I34" t="n">
        <v>42</v>
      </c>
      <c r="J34" t="n">
        <v>1020</v>
      </c>
      <c r="K34" t="n">
        <v>36.2</v>
      </c>
      <c r="L34" t="inlineStr">
        <is>
          <t>No</t>
        </is>
      </c>
      <c r="M34" t="inlineStr">
        <is>
          <t>Review supplier batch</t>
        </is>
      </c>
      <c r="N34" s="2">
        <f>I34/H34</f>
        <v/>
      </c>
      <c r="O34" s="2">
        <f>J34/H34</f>
        <v/>
      </c>
      <c r="P34">
        <f>H34-G34</f>
        <v/>
      </c>
      <c r="Q34">
        <f>IF(N34&gt;0.04,"High",IF(N34&gt;0.03,"Medium","Low"))</f>
        <v/>
      </c>
    </row>
    <row r="35">
      <c r="A35" t="inlineStr">
        <is>
          <t>NM-03-12</t>
        </is>
      </c>
      <c r="B35" t="inlineStr">
        <is>
          <t>2026-07-20</t>
        </is>
      </c>
      <c r="C35" t="inlineStr">
        <is>
          <t>North Assembly</t>
        </is>
      </c>
      <c r="D35" t="inlineStr">
        <is>
          <t>Battery Controller</t>
        </is>
      </c>
      <c r="E35" t="inlineStr">
        <is>
          <t>Day</t>
        </is>
      </c>
      <c r="F35" t="inlineStr">
        <is>
          <t>Summit Plastics</t>
        </is>
      </c>
      <c r="G35" t="n">
        <v>873</v>
      </c>
      <c r="H35" t="n">
        <v>852</v>
      </c>
      <c r="I35" t="n">
        <v>30</v>
      </c>
      <c r="J35" t="n">
        <v>803</v>
      </c>
      <c r="K35" t="n">
        <v>39</v>
      </c>
      <c r="L35" t="inlineStr">
        <is>
          <t>No</t>
        </is>
      </c>
      <c r="M35" t="inlineStr">
        <is>
          <t>Normal variation</t>
        </is>
      </c>
      <c r="N35" s="2">
        <f>I35/H35</f>
        <v/>
      </c>
      <c r="O35" s="2">
        <f>J35/H35</f>
        <v/>
      </c>
      <c r="P35">
        <f>H35-G35</f>
        <v/>
      </c>
      <c r="Q35">
        <f>IF(N35&gt;0.04,"High",IF(N35&gt;0.03,"Medium","Low"))</f>
        <v/>
      </c>
    </row>
    <row r="36">
      <c r="A36" t="inlineStr">
        <is>
          <t>NM-03-13</t>
        </is>
      </c>
      <c r="B36" t="inlineStr">
        <is>
          <t>2026-07-20</t>
        </is>
      </c>
      <c r="C36" t="inlineStr">
        <is>
          <t>North Assembly</t>
        </is>
      </c>
      <c r="D36" t="inlineStr">
        <is>
          <t>Infotainment Harness</t>
        </is>
      </c>
      <c r="E36" t="inlineStr">
        <is>
          <t>Night</t>
        </is>
      </c>
      <c r="F36" t="inlineStr">
        <is>
          <t>Cedar Forge</t>
        </is>
      </c>
      <c r="G36" t="n">
        <v>1209</v>
      </c>
      <c r="H36" t="n">
        <v>1077</v>
      </c>
      <c r="I36" t="n">
        <v>44</v>
      </c>
      <c r="J36" t="n">
        <v>1058</v>
      </c>
      <c r="K36" t="n">
        <v>54.3</v>
      </c>
      <c r="L36" t="inlineStr">
        <is>
          <t>No</t>
        </is>
      </c>
      <c r="M36" t="inlineStr">
        <is>
          <t>Review supplier batch</t>
        </is>
      </c>
      <c r="N36" s="2">
        <f>I36/H36</f>
        <v/>
      </c>
      <c r="O36" s="2">
        <f>J36/H36</f>
        <v/>
      </c>
      <c r="P36">
        <f>H36-G36</f>
        <v/>
      </c>
      <c r="Q36">
        <f>IF(N36&gt;0.04,"High",IF(N36&gt;0.03,"Medium","Low"))</f>
        <v/>
      </c>
    </row>
    <row r="37">
      <c r="A37" t="inlineStr">
        <is>
          <t>NM-03-14</t>
        </is>
      </c>
      <c r="B37" t="inlineStr">
        <is>
          <t>2026-07-20</t>
        </is>
      </c>
      <c r="C37" t="inlineStr">
        <is>
          <t>North Assembly</t>
        </is>
      </c>
      <c r="D37" t="inlineStr">
        <is>
          <t>Drive Unit Housing</t>
        </is>
      </c>
      <c r="E37" t="inlineStr">
        <is>
          <t>Swing</t>
        </is>
      </c>
      <c r="F37" t="inlineStr">
        <is>
          <t>Vector Embedded</t>
        </is>
      </c>
      <c r="G37" t="n">
        <v>834</v>
      </c>
      <c r="H37" t="n">
        <v>791</v>
      </c>
      <c r="I37" t="n">
        <v>28</v>
      </c>
      <c r="J37" t="n">
        <v>703</v>
      </c>
      <c r="K37" t="n">
        <v>52.4</v>
      </c>
      <c r="L37" t="inlineStr">
        <is>
          <t>Yes</t>
        </is>
      </c>
      <c r="M37" t="inlineStr">
        <is>
          <t>Normal variation</t>
        </is>
      </c>
      <c r="N37" s="2">
        <f>I37/H37</f>
        <v/>
      </c>
      <c r="O37" s="2">
        <f>J37/H37</f>
        <v/>
      </c>
      <c r="P37">
        <f>H37-G37</f>
        <v/>
      </c>
      <c r="Q37">
        <f>IF(N37&gt;0.04,"High",IF(N37&gt;0.03,"Medium","Low"))</f>
        <v/>
      </c>
    </row>
    <row r="38">
      <c r="A38" t="inlineStr">
        <is>
          <t>NM-03-21</t>
        </is>
      </c>
      <c r="B38" t="inlineStr">
        <is>
          <t>2026-07-20</t>
        </is>
      </c>
      <c r="C38" t="inlineStr">
        <is>
          <t>River Rouge Pilot</t>
        </is>
      </c>
      <c r="D38" t="inlineStr">
        <is>
          <t>Sensor Module</t>
        </is>
      </c>
      <c r="E38" t="inlineStr">
        <is>
          <t>Swing</t>
        </is>
      </c>
      <c r="F38" t="inlineStr">
        <is>
          <t>Cedar Forge</t>
        </is>
      </c>
      <c r="G38" t="n">
        <v>1227</v>
      </c>
      <c r="H38" t="n">
        <v>1160</v>
      </c>
      <c r="I38" t="n">
        <v>45</v>
      </c>
      <c r="J38" t="n">
        <v>1032</v>
      </c>
      <c r="K38" t="n">
        <v>63.5</v>
      </c>
      <c r="L38" t="inlineStr">
        <is>
          <t>No</t>
        </is>
      </c>
      <c r="M38" t="inlineStr">
        <is>
          <t>Normal variation</t>
        </is>
      </c>
      <c r="N38" s="2">
        <f>I38/H38</f>
        <v/>
      </c>
      <c r="O38" s="2">
        <f>J38/H38</f>
        <v/>
      </c>
      <c r="P38">
        <f>H38-G38</f>
        <v/>
      </c>
      <c r="Q38">
        <f>IF(N38&gt;0.04,"High",IF(N38&gt;0.03,"Medium","Low"))</f>
        <v/>
      </c>
    </row>
    <row r="39">
      <c r="A39" t="inlineStr">
        <is>
          <t>NM-03-22</t>
        </is>
      </c>
      <c r="B39" t="inlineStr">
        <is>
          <t>2026-07-20</t>
        </is>
      </c>
      <c r="C39" t="inlineStr">
        <is>
          <t>River Rouge Pilot</t>
        </is>
      </c>
      <c r="D39" t="inlineStr">
        <is>
          <t>Battery Controller</t>
        </is>
      </c>
      <c r="E39" t="inlineStr">
        <is>
          <t>Swing</t>
        </is>
      </c>
      <c r="F39" t="inlineStr">
        <is>
          <t>Blue Harbor Components</t>
        </is>
      </c>
      <c r="G39" t="n">
        <v>1151</v>
      </c>
      <c r="H39" t="n">
        <v>1079</v>
      </c>
      <c r="I39" t="n">
        <v>28</v>
      </c>
      <c r="J39" t="n">
        <v>1006</v>
      </c>
      <c r="K39" t="n">
        <v>52</v>
      </c>
      <c r="L39" t="inlineStr">
        <is>
          <t>Yes</t>
        </is>
      </c>
      <c r="M39" t="inlineStr">
        <is>
          <t>Normal variation</t>
        </is>
      </c>
      <c r="N39" s="2">
        <f>I39/H39</f>
        <v/>
      </c>
      <c r="O39" s="2">
        <f>J39/H39</f>
        <v/>
      </c>
      <c r="P39">
        <f>H39-G39</f>
        <v/>
      </c>
      <c r="Q39">
        <f>IF(N39&gt;0.04,"High",IF(N39&gt;0.03,"Medium","Low"))</f>
        <v/>
      </c>
    </row>
    <row r="40">
      <c r="A40" t="inlineStr">
        <is>
          <t>NM-03-23</t>
        </is>
      </c>
      <c r="B40" t="inlineStr">
        <is>
          <t>2026-07-20</t>
        </is>
      </c>
      <c r="C40" t="inlineStr">
        <is>
          <t>River Rouge Pilot</t>
        </is>
      </c>
      <c r="D40" t="inlineStr">
        <is>
          <t>Infotainment Harness</t>
        </is>
      </c>
      <c r="E40" t="inlineStr">
        <is>
          <t>Swing</t>
        </is>
      </c>
      <c r="F40" t="inlineStr">
        <is>
          <t>Pioneer Circuit Works</t>
        </is>
      </c>
      <c r="G40" t="n">
        <v>1070</v>
      </c>
      <c r="H40" t="n">
        <v>995</v>
      </c>
      <c r="I40" t="n">
        <v>16</v>
      </c>
      <c r="J40" t="n">
        <v>960</v>
      </c>
      <c r="K40" t="n">
        <v>50.5</v>
      </c>
      <c r="L40" t="inlineStr">
        <is>
          <t>No</t>
        </is>
      </c>
      <c r="M40" t="inlineStr">
        <is>
          <t>Normal variation</t>
        </is>
      </c>
      <c r="N40" s="2">
        <f>I40/H40</f>
        <v/>
      </c>
      <c r="O40" s="2">
        <f>J40/H40</f>
        <v/>
      </c>
      <c r="P40">
        <f>H40-G40</f>
        <v/>
      </c>
      <c r="Q40">
        <f>IF(N40&gt;0.04,"High",IF(N40&gt;0.03,"Medium","Low"))</f>
        <v/>
      </c>
    </row>
    <row r="41">
      <c r="A41" t="inlineStr">
        <is>
          <t>NM-03-24</t>
        </is>
      </c>
      <c r="B41" t="inlineStr">
        <is>
          <t>2026-07-20</t>
        </is>
      </c>
      <c r="C41" t="inlineStr">
        <is>
          <t>River Rouge Pilot</t>
        </is>
      </c>
      <c r="D41" t="inlineStr">
        <is>
          <t>Drive Unit Housing</t>
        </is>
      </c>
      <c r="E41" t="inlineStr">
        <is>
          <t>Day</t>
        </is>
      </c>
      <c r="F41" t="inlineStr">
        <is>
          <t>Cedar Forge</t>
        </is>
      </c>
      <c r="G41" t="n">
        <v>1073</v>
      </c>
      <c r="H41" t="n">
        <v>1061</v>
      </c>
      <c r="I41" t="n">
        <v>33</v>
      </c>
      <c r="J41" t="n">
        <v>1007</v>
      </c>
      <c r="K41" t="n">
        <v>63.3</v>
      </c>
      <c r="L41" t="inlineStr">
        <is>
          <t>No</t>
        </is>
      </c>
      <c r="M41" t="inlineStr">
        <is>
          <t>Normal variation</t>
        </is>
      </c>
      <c r="N41" s="2">
        <f>I41/H41</f>
        <v/>
      </c>
      <c r="O41" s="2">
        <f>J41/H41</f>
        <v/>
      </c>
      <c r="P41">
        <f>H41-G41</f>
        <v/>
      </c>
      <c r="Q41">
        <f>IF(N41&gt;0.04,"High",IF(N41&gt;0.03,"Medium","Low"))</f>
        <v/>
      </c>
    </row>
    <row r="42">
      <c r="A42" t="inlineStr">
        <is>
          <t>NM-03-31</t>
        </is>
      </c>
      <c r="B42" t="inlineStr">
        <is>
          <t>2026-07-20</t>
        </is>
      </c>
      <c r="C42" t="inlineStr">
        <is>
          <t>Lakeside Components</t>
        </is>
      </c>
      <c r="D42" t="inlineStr">
        <is>
          <t>Sensor Module</t>
        </is>
      </c>
      <c r="E42" t="inlineStr">
        <is>
          <t>Day</t>
        </is>
      </c>
      <c r="F42" t="inlineStr">
        <is>
          <t>Cedar Forge</t>
        </is>
      </c>
      <c r="G42" t="n">
        <v>961</v>
      </c>
      <c r="H42" t="n">
        <v>940</v>
      </c>
      <c r="I42" t="n">
        <v>20</v>
      </c>
      <c r="J42" t="n">
        <v>912</v>
      </c>
      <c r="K42" t="n">
        <v>48.6</v>
      </c>
      <c r="L42" t="inlineStr">
        <is>
          <t>No</t>
        </is>
      </c>
      <c r="M42" t="inlineStr">
        <is>
          <t>Normal variation</t>
        </is>
      </c>
      <c r="N42" s="2">
        <f>I42/H42</f>
        <v/>
      </c>
      <c r="O42" s="2">
        <f>J42/H42</f>
        <v/>
      </c>
      <c r="P42">
        <f>H42-G42</f>
        <v/>
      </c>
      <c r="Q42">
        <f>IF(N42&gt;0.04,"High",IF(N42&gt;0.03,"Medium","Low"))</f>
        <v/>
      </c>
    </row>
    <row r="43">
      <c r="A43" t="inlineStr">
        <is>
          <t>NM-03-32</t>
        </is>
      </c>
      <c r="B43" t="inlineStr">
        <is>
          <t>2026-07-20</t>
        </is>
      </c>
      <c r="C43" t="inlineStr">
        <is>
          <t>Lakeside Components</t>
        </is>
      </c>
      <c r="D43" t="inlineStr">
        <is>
          <t>Battery Controller</t>
        </is>
      </c>
      <c r="E43" t="inlineStr">
        <is>
          <t>Day</t>
        </is>
      </c>
      <c r="F43" t="inlineStr">
        <is>
          <t>Blue Harbor Components</t>
        </is>
      </c>
      <c r="G43" t="n">
        <v>1215</v>
      </c>
      <c r="H43" t="n">
        <v>1113</v>
      </c>
      <c r="I43" t="n">
        <v>23</v>
      </c>
      <c r="J43" t="n">
        <v>979</v>
      </c>
      <c r="K43" t="n">
        <v>43</v>
      </c>
      <c r="L43" t="inlineStr">
        <is>
          <t>No</t>
        </is>
      </c>
      <c r="M43" t="inlineStr">
        <is>
          <t>Normal variation</t>
        </is>
      </c>
      <c r="N43" s="2">
        <f>I43/H43</f>
        <v/>
      </c>
      <c r="O43" s="2">
        <f>J43/H43</f>
        <v/>
      </c>
      <c r="P43">
        <f>H43-G43</f>
        <v/>
      </c>
      <c r="Q43">
        <f>IF(N43&gt;0.04,"High",IF(N43&gt;0.03,"Medium","Low"))</f>
        <v/>
      </c>
    </row>
    <row r="44">
      <c r="A44" t="inlineStr">
        <is>
          <t>NM-03-33</t>
        </is>
      </c>
      <c r="B44" t="inlineStr">
        <is>
          <t>2026-07-20</t>
        </is>
      </c>
      <c r="C44" t="inlineStr">
        <is>
          <t>Lakeside Components</t>
        </is>
      </c>
      <c r="D44" t="inlineStr">
        <is>
          <t>Infotainment Harness</t>
        </is>
      </c>
      <c r="E44" t="inlineStr">
        <is>
          <t>Swing</t>
        </is>
      </c>
      <c r="F44" t="inlineStr">
        <is>
          <t>Blue Harbor Components</t>
        </is>
      </c>
      <c r="G44" t="n">
        <v>1042</v>
      </c>
      <c r="H44" t="n">
        <v>984</v>
      </c>
      <c r="I44" t="n">
        <v>37</v>
      </c>
      <c r="J44" t="n">
        <v>937</v>
      </c>
      <c r="K44" t="n">
        <v>63.3</v>
      </c>
      <c r="L44" t="inlineStr">
        <is>
          <t>No</t>
        </is>
      </c>
      <c r="M44" t="inlineStr">
        <is>
          <t>Normal variation</t>
        </is>
      </c>
      <c r="N44" s="2">
        <f>I44/H44</f>
        <v/>
      </c>
      <c r="O44" s="2">
        <f>J44/H44</f>
        <v/>
      </c>
      <c r="P44">
        <f>H44-G44</f>
        <v/>
      </c>
      <c r="Q44">
        <f>IF(N44&gt;0.04,"High",IF(N44&gt;0.03,"Medium","Low"))</f>
        <v/>
      </c>
    </row>
    <row r="45">
      <c r="A45" t="inlineStr">
        <is>
          <t>NM-03-34</t>
        </is>
      </c>
      <c r="B45" t="inlineStr">
        <is>
          <t>2026-07-20</t>
        </is>
      </c>
      <c r="C45" t="inlineStr">
        <is>
          <t>Lakeside Components</t>
        </is>
      </c>
      <c r="D45" t="inlineStr">
        <is>
          <t>Drive Unit Housing</t>
        </is>
      </c>
      <c r="E45" t="inlineStr">
        <is>
          <t>Night</t>
        </is>
      </c>
      <c r="F45" t="inlineStr">
        <is>
          <t>Summit Plastics</t>
        </is>
      </c>
      <c r="G45" t="n">
        <v>1210</v>
      </c>
      <c r="H45" t="n">
        <v>1161</v>
      </c>
      <c r="I45" t="n">
        <v>23</v>
      </c>
      <c r="J45" t="n">
        <v>1142</v>
      </c>
      <c r="K45" t="n">
        <v>42.5</v>
      </c>
      <c r="L45" t="inlineStr">
        <is>
          <t>No</t>
        </is>
      </c>
      <c r="M45" t="inlineStr">
        <is>
          <t>Normal variation</t>
        </is>
      </c>
      <c r="N45" s="2">
        <f>I45/H45</f>
        <v/>
      </c>
      <c r="O45" s="2">
        <f>J45/H45</f>
        <v/>
      </c>
      <c r="P45">
        <f>H45-G45</f>
        <v/>
      </c>
      <c r="Q45">
        <f>IF(N45&gt;0.04,"High",IF(N45&gt;0.03,"Medium","Low"))</f>
        <v/>
      </c>
    </row>
    <row r="46">
      <c r="A46" t="inlineStr">
        <is>
          <t>NM-03-41</t>
        </is>
      </c>
      <c r="B46" t="inlineStr">
        <is>
          <t>2026-07-20</t>
        </is>
      </c>
      <c r="C46" t="inlineStr">
        <is>
          <t>Metro EV Systems</t>
        </is>
      </c>
      <c r="D46" t="inlineStr">
        <is>
          <t>Sensor Module</t>
        </is>
      </c>
      <c r="E46" t="inlineStr">
        <is>
          <t>Night</t>
        </is>
      </c>
      <c r="F46" t="inlineStr">
        <is>
          <t>Blue Harbor Components</t>
        </is>
      </c>
      <c r="G46" t="n">
        <v>852</v>
      </c>
      <c r="H46" t="n">
        <v>827</v>
      </c>
      <c r="I46" t="n">
        <v>24</v>
      </c>
      <c r="J46" t="n">
        <v>747</v>
      </c>
      <c r="K46" t="n">
        <v>35.8</v>
      </c>
      <c r="L46" t="inlineStr">
        <is>
          <t>Yes</t>
        </is>
      </c>
      <c r="M46" t="inlineStr">
        <is>
          <t>Normal variation</t>
        </is>
      </c>
      <c r="N46" s="2">
        <f>I46/H46</f>
        <v/>
      </c>
      <c r="O46" s="2">
        <f>J46/H46</f>
        <v/>
      </c>
      <c r="P46">
        <f>H46-G46</f>
        <v/>
      </c>
      <c r="Q46">
        <f>IF(N46&gt;0.04,"High",IF(N46&gt;0.03,"Medium","Low"))</f>
        <v/>
      </c>
    </row>
    <row r="47">
      <c r="A47" t="inlineStr">
        <is>
          <t>NM-03-42</t>
        </is>
      </c>
      <c r="B47" t="inlineStr">
        <is>
          <t>2026-07-20</t>
        </is>
      </c>
      <c r="C47" t="inlineStr">
        <is>
          <t>Metro EV Systems</t>
        </is>
      </c>
      <c r="D47" t="inlineStr">
        <is>
          <t>Battery Controller</t>
        </is>
      </c>
      <c r="E47" t="inlineStr">
        <is>
          <t>Night</t>
        </is>
      </c>
      <c r="F47" t="inlineStr">
        <is>
          <t>Pioneer Circuit Works</t>
        </is>
      </c>
      <c r="G47" t="n">
        <v>1178</v>
      </c>
      <c r="H47" t="n">
        <v>1218</v>
      </c>
      <c r="I47" t="n">
        <v>44</v>
      </c>
      <c r="J47" t="n">
        <v>1085</v>
      </c>
      <c r="K47" t="n">
        <v>32.2</v>
      </c>
      <c r="L47" t="inlineStr">
        <is>
          <t>No</t>
        </is>
      </c>
      <c r="M47" t="inlineStr">
        <is>
          <t>Normal variation</t>
        </is>
      </c>
      <c r="N47" s="2">
        <f>I47/H47</f>
        <v/>
      </c>
      <c r="O47" s="2">
        <f>J47/H47</f>
        <v/>
      </c>
      <c r="P47">
        <f>H47-G47</f>
        <v/>
      </c>
      <c r="Q47">
        <f>IF(N47&gt;0.04,"High",IF(N47&gt;0.03,"Medium","Low"))</f>
        <v/>
      </c>
    </row>
    <row r="48">
      <c r="A48" t="inlineStr">
        <is>
          <t>NM-03-43</t>
        </is>
      </c>
      <c r="B48" t="inlineStr">
        <is>
          <t>2026-07-20</t>
        </is>
      </c>
      <c r="C48" t="inlineStr">
        <is>
          <t>Metro EV Systems</t>
        </is>
      </c>
      <c r="D48" t="inlineStr">
        <is>
          <t>Infotainment Harness</t>
        </is>
      </c>
      <c r="E48" t="inlineStr">
        <is>
          <t>Night</t>
        </is>
      </c>
      <c r="F48" t="inlineStr">
        <is>
          <t>Pioneer Circuit Works</t>
        </is>
      </c>
      <c r="G48" t="n">
        <v>826</v>
      </c>
      <c r="H48" t="n">
        <v>742</v>
      </c>
      <c r="I48" t="n">
        <v>29</v>
      </c>
      <c r="J48" t="n">
        <v>682</v>
      </c>
      <c r="K48" t="n">
        <v>59.9</v>
      </c>
      <c r="L48" t="inlineStr">
        <is>
          <t>No</t>
        </is>
      </c>
      <c r="M48" t="inlineStr">
        <is>
          <t>Normal variation</t>
        </is>
      </c>
      <c r="N48" s="2">
        <f>I48/H48</f>
        <v/>
      </c>
      <c r="O48" s="2">
        <f>J48/H48</f>
        <v/>
      </c>
      <c r="P48">
        <f>H48-G48</f>
        <v/>
      </c>
      <c r="Q48">
        <f>IF(N48&gt;0.04,"High",IF(N48&gt;0.03,"Medium","Low"))</f>
        <v/>
      </c>
    </row>
    <row r="49">
      <c r="A49" t="inlineStr">
        <is>
          <t>NM-03-44</t>
        </is>
      </c>
      <c r="B49" t="inlineStr">
        <is>
          <t>2026-07-20</t>
        </is>
      </c>
      <c r="C49" t="inlineStr">
        <is>
          <t>Metro EV Systems</t>
        </is>
      </c>
      <c r="D49" t="inlineStr">
        <is>
          <t>Drive Unit Housing</t>
        </is>
      </c>
      <c r="E49" t="inlineStr">
        <is>
          <t>Swing</t>
        </is>
      </c>
      <c r="F49" t="inlineStr">
        <is>
          <t>Vector Embedded</t>
        </is>
      </c>
      <c r="G49" t="n">
        <v>1082</v>
      </c>
      <c r="H49" t="n">
        <v>1093</v>
      </c>
      <c r="I49" t="n">
        <v>45</v>
      </c>
      <c r="J49" t="n">
        <v>1040</v>
      </c>
      <c r="K49" t="n">
        <v>53.7</v>
      </c>
      <c r="L49" t="inlineStr">
        <is>
          <t>Yes</t>
        </is>
      </c>
      <c r="M49" t="inlineStr">
        <is>
          <t>Review supplier batch</t>
        </is>
      </c>
      <c r="N49" s="2">
        <f>I49/H49</f>
        <v/>
      </c>
      <c r="O49" s="2">
        <f>J49/H49</f>
        <v/>
      </c>
      <c r="P49">
        <f>H49-G49</f>
        <v/>
      </c>
      <c r="Q49">
        <f>IF(N49&gt;0.04,"High",IF(N49&gt;0.03,"Medium","Low"))</f>
        <v/>
      </c>
    </row>
    <row r="50">
      <c r="A50" t="inlineStr">
        <is>
          <t>NM-04-11</t>
        </is>
      </c>
      <c r="B50" t="inlineStr">
        <is>
          <t>2026-07-27</t>
        </is>
      </c>
      <c r="C50" t="inlineStr">
        <is>
          <t>North Assembly</t>
        </is>
      </c>
      <c r="D50" t="inlineStr">
        <is>
          <t>Sensor Module</t>
        </is>
      </c>
      <c r="E50" t="inlineStr">
        <is>
          <t>Day</t>
        </is>
      </c>
      <c r="F50" t="inlineStr">
        <is>
          <t>Vector Embedded</t>
        </is>
      </c>
      <c r="G50" t="n">
        <v>1163</v>
      </c>
      <c r="H50" t="n">
        <v>1052</v>
      </c>
      <c r="I50" t="n">
        <v>44</v>
      </c>
      <c r="J50" t="n">
        <v>938</v>
      </c>
      <c r="K50" t="n">
        <v>57.9</v>
      </c>
      <c r="L50" t="inlineStr">
        <is>
          <t>No</t>
        </is>
      </c>
      <c r="M50" t="inlineStr">
        <is>
          <t>Review supplier batch</t>
        </is>
      </c>
      <c r="N50" s="2">
        <f>I50/H50</f>
        <v/>
      </c>
      <c r="O50" s="2">
        <f>J50/H50</f>
        <v/>
      </c>
      <c r="P50">
        <f>H50-G50</f>
        <v/>
      </c>
      <c r="Q50">
        <f>IF(N50&gt;0.04,"High",IF(N50&gt;0.03,"Medium","Low"))</f>
        <v/>
      </c>
    </row>
    <row r="51">
      <c r="A51" t="inlineStr">
        <is>
          <t>NM-04-12</t>
        </is>
      </c>
      <c r="B51" t="inlineStr">
        <is>
          <t>2026-07-27</t>
        </is>
      </c>
      <c r="C51" t="inlineStr">
        <is>
          <t>North Assembly</t>
        </is>
      </c>
      <c r="D51" t="inlineStr">
        <is>
          <t>Battery Controller</t>
        </is>
      </c>
      <c r="E51" t="inlineStr">
        <is>
          <t>Day</t>
        </is>
      </c>
      <c r="F51" t="inlineStr">
        <is>
          <t>Vector Embedded</t>
        </is>
      </c>
      <c r="G51" t="n">
        <v>1028</v>
      </c>
      <c r="H51" t="n">
        <v>989</v>
      </c>
      <c r="I51" t="n">
        <v>40</v>
      </c>
      <c r="J51" t="n">
        <v>876</v>
      </c>
      <c r="K51" t="n">
        <v>32.3</v>
      </c>
      <c r="L51" t="inlineStr">
        <is>
          <t>No</t>
        </is>
      </c>
      <c r="M51" t="inlineStr">
        <is>
          <t>Review supplier batch</t>
        </is>
      </c>
      <c r="N51" s="2">
        <f>I51/H51</f>
        <v/>
      </c>
      <c r="O51" s="2">
        <f>J51/H51</f>
        <v/>
      </c>
      <c r="P51">
        <f>H51-G51</f>
        <v/>
      </c>
      <c r="Q51">
        <f>IF(N51&gt;0.04,"High",IF(N51&gt;0.03,"Medium","Low"))</f>
        <v/>
      </c>
    </row>
    <row r="52">
      <c r="A52" t="inlineStr">
        <is>
          <t>NM-04-13</t>
        </is>
      </c>
      <c r="B52" t="inlineStr">
        <is>
          <t>2026-07-27</t>
        </is>
      </c>
      <c r="C52" t="inlineStr">
        <is>
          <t>North Assembly</t>
        </is>
      </c>
      <c r="D52" t="inlineStr">
        <is>
          <t>Infotainment Harness</t>
        </is>
      </c>
      <c r="E52" t="inlineStr">
        <is>
          <t>Day</t>
        </is>
      </c>
      <c r="F52" t="inlineStr">
        <is>
          <t>Cedar Forge</t>
        </is>
      </c>
      <c r="G52" t="n">
        <v>966</v>
      </c>
      <c r="H52" t="n">
        <v>875</v>
      </c>
      <c r="I52" t="n">
        <v>33</v>
      </c>
      <c r="J52" t="n">
        <v>829</v>
      </c>
      <c r="K52" t="n">
        <v>62.3</v>
      </c>
      <c r="L52" t="inlineStr">
        <is>
          <t>No</t>
        </is>
      </c>
      <c r="M52" t="inlineStr">
        <is>
          <t>Normal variation</t>
        </is>
      </c>
      <c r="N52" s="2">
        <f>I52/H52</f>
        <v/>
      </c>
      <c r="O52" s="2">
        <f>J52/H52</f>
        <v/>
      </c>
      <c r="P52">
        <f>H52-G52</f>
        <v/>
      </c>
      <c r="Q52">
        <f>IF(N52&gt;0.04,"High",IF(N52&gt;0.03,"Medium","Low"))</f>
        <v/>
      </c>
    </row>
    <row r="53">
      <c r="A53" t="inlineStr">
        <is>
          <t>NM-04-14</t>
        </is>
      </c>
      <c r="B53" t="inlineStr">
        <is>
          <t>2026-07-27</t>
        </is>
      </c>
      <c r="C53" t="inlineStr">
        <is>
          <t>North Assembly</t>
        </is>
      </c>
      <c r="D53" t="inlineStr">
        <is>
          <t>Drive Unit Housing</t>
        </is>
      </c>
      <c r="E53" t="inlineStr">
        <is>
          <t>Swing</t>
        </is>
      </c>
      <c r="F53" t="inlineStr">
        <is>
          <t>Cedar Forge</t>
        </is>
      </c>
      <c r="G53" t="n">
        <v>1063</v>
      </c>
      <c r="H53" t="n">
        <v>1030</v>
      </c>
      <c r="I53" t="n">
        <v>37</v>
      </c>
      <c r="J53" t="n">
        <v>916</v>
      </c>
      <c r="K53" t="n">
        <v>55.6</v>
      </c>
      <c r="L53" t="inlineStr">
        <is>
          <t>No</t>
        </is>
      </c>
      <c r="M53" t="inlineStr">
        <is>
          <t>Normal variation</t>
        </is>
      </c>
      <c r="N53" s="2">
        <f>I53/H53</f>
        <v/>
      </c>
      <c r="O53" s="2">
        <f>J53/H53</f>
        <v/>
      </c>
      <c r="P53">
        <f>H53-G53</f>
        <v/>
      </c>
      <c r="Q53">
        <f>IF(N53&gt;0.04,"High",IF(N53&gt;0.03,"Medium","Low"))</f>
        <v/>
      </c>
    </row>
    <row r="54">
      <c r="A54" t="inlineStr">
        <is>
          <t>NM-04-21</t>
        </is>
      </c>
      <c r="B54" t="inlineStr">
        <is>
          <t>2026-07-27</t>
        </is>
      </c>
      <c r="C54" t="inlineStr">
        <is>
          <t>River Rouge Pilot</t>
        </is>
      </c>
      <c r="D54" t="inlineStr">
        <is>
          <t>Sensor Module</t>
        </is>
      </c>
      <c r="E54" t="inlineStr">
        <is>
          <t>Night</t>
        </is>
      </c>
      <c r="F54" t="inlineStr">
        <is>
          <t>Pioneer Circuit Works</t>
        </is>
      </c>
      <c r="G54" t="n">
        <v>1255</v>
      </c>
      <c r="H54" t="n">
        <v>1240</v>
      </c>
      <c r="I54" t="n">
        <v>17</v>
      </c>
      <c r="J54" t="n">
        <v>1118</v>
      </c>
      <c r="K54" t="n">
        <v>39.4</v>
      </c>
      <c r="L54" t="inlineStr">
        <is>
          <t>No</t>
        </is>
      </c>
      <c r="M54" t="inlineStr">
        <is>
          <t>Normal variation</t>
        </is>
      </c>
      <c r="N54" s="2">
        <f>I54/H54</f>
        <v/>
      </c>
      <c r="O54" s="2">
        <f>J54/H54</f>
        <v/>
      </c>
      <c r="P54">
        <f>H54-G54</f>
        <v/>
      </c>
      <c r="Q54">
        <f>IF(N54&gt;0.04,"High",IF(N54&gt;0.03,"Medium","Low"))</f>
        <v/>
      </c>
    </row>
    <row r="55">
      <c r="A55" t="inlineStr">
        <is>
          <t>NM-04-22</t>
        </is>
      </c>
      <c r="B55" t="inlineStr">
        <is>
          <t>2026-07-27</t>
        </is>
      </c>
      <c r="C55" t="inlineStr">
        <is>
          <t>River Rouge Pilot</t>
        </is>
      </c>
      <c r="D55" t="inlineStr">
        <is>
          <t>Battery Controller</t>
        </is>
      </c>
      <c r="E55" t="inlineStr">
        <is>
          <t>Night</t>
        </is>
      </c>
      <c r="F55" t="inlineStr">
        <is>
          <t>Vector Embedded</t>
        </is>
      </c>
      <c r="G55" t="n">
        <v>870</v>
      </c>
      <c r="H55" t="n">
        <v>903</v>
      </c>
      <c r="I55" t="n">
        <v>34</v>
      </c>
      <c r="J55" t="n">
        <v>814</v>
      </c>
      <c r="K55" t="n">
        <v>56.9</v>
      </c>
      <c r="L55" t="inlineStr">
        <is>
          <t>No</t>
        </is>
      </c>
      <c r="M55" t="inlineStr">
        <is>
          <t>Normal variation</t>
        </is>
      </c>
      <c r="N55" s="2">
        <f>I55/H55</f>
        <v/>
      </c>
      <c r="O55" s="2">
        <f>J55/H55</f>
        <v/>
      </c>
      <c r="P55">
        <f>H55-G55</f>
        <v/>
      </c>
      <c r="Q55">
        <f>IF(N55&gt;0.04,"High",IF(N55&gt;0.03,"Medium","Low"))</f>
        <v/>
      </c>
    </row>
    <row r="56">
      <c r="A56" t="inlineStr">
        <is>
          <t>NM-04-23</t>
        </is>
      </c>
      <c r="B56" t="inlineStr">
        <is>
          <t>2026-07-27</t>
        </is>
      </c>
      <c r="C56" t="inlineStr">
        <is>
          <t>River Rouge Pilot</t>
        </is>
      </c>
      <c r="D56" t="inlineStr">
        <is>
          <t>Infotainment Harness</t>
        </is>
      </c>
      <c r="E56" t="inlineStr">
        <is>
          <t>Night</t>
        </is>
      </c>
      <c r="F56" t="inlineStr">
        <is>
          <t>Cedar Forge</t>
        </is>
      </c>
      <c r="G56" t="n">
        <v>878</v>
      </c>
      <c r="H56" t="n">
        <v>795</v>
      </c>
      <c r="I56" t="n">
        <v>10</v>
      </c>
      <c r="J56" t="n">
        <v>741</v>
      </c>
      <c r="K56" t="n">
        <v>28.9</v>
      </c>
      <c r="L56" t="inlineStr">
        <is>
          <t>No</t>
        </is>
      </c>
      <c r="M56" t="inlineStr">
        <is>
          <t>Normal variation</t>
        </is>
      </c>
      <c r="N56" s="2">
        <f>I56/H56</f>
        <v/>
      </c>
      <c r="O56" s="2">
        <f>J56/H56</f>
        <v/>
      </c>
      <c r="P56">
        <f>H56-G56</f>
        <v/>
      </c>
      <c r="Q56">
        <f>IF(N56&gt;0.04,"High",IF(N56&gt;0.03,"Medium","Low"))</f>
        <v/>
      </c>
    </row>
    <row r="57">
      <c r="A57" t="inlineStr">
        <is>
          <t>NM-04-24</t>
        </is>
      </c>
      <c r="B57" t="inlineStr">
        <is>
          <t>2026-07-27</t>
        </is>
      </c>
      <c r="C57" t="inlineStr">
        <is>
          <t>River Rouge Pilot</t>
        </is>
      </c>
      <c r="D57" t="inlineStr">
        <is>
          <t>Drive Unit Housing</t>
        </is>
      </c>
      <c r="E57" t="inlineStr">
        <is>
          <t>Swing</t>
        </is>
      </c>
      <c r="F57" t="inlineStr">
        <is>
          <t>Blue Harbor Components</t>
        </is>
      </c>
      <c r="G57" t="n">
        <v>1127</v>
      </c>
      <c r="H57" t="n">
        <v>1114</v>
      </c>
      <c r="I57" t="n">
        <v>41</v>
      </c>
      <c r="J57" t="n">
        <v>1041</v>
      </c>
      <c r="K57" t="n">
        <v>45.3</v>
      </c>
      <c r="L57" t="inlineStr">
        <is>
          <t>Yes</t>
        </is>
      </c>
      <c r="M57" t="inlineStr">
        <is>
          <t>Normal variation</t>
        </is>
      </c>
      <c r="N57" s="2">
        <f>I57/H57</f>
        <v/>
      </c>
      <c r="O57" s="2">
        <f>J57/H57</f>
        <v/>
      </c>
      <c r="P57">
        <f>H57-G57</f>
        <v/>
      </c>
      <c r="Q57">
        <f>IF(N57&gt;0.04,"High",IF(N57&gt;0.03,"Medium","Low"))</f>
        <v/>
      </c>
    </row>
    <row r="58">
      <c r="A58" t="inlineStr">
        <is>
          <t>NM-04-31</t>
        </is>
      </c>
      <c r="B58" t="inlineStr">
        <is>
          <t>2026-07-27</t>
        </is>
      </c>
      <c r="C58" t="inlineStr">
        <is>
          <t>Lakeside Components</t>
        </is>
      </c>
      <c r="D58" t="inlineStr">
        <is>
          <t>Sensor Module</t>
        </is>
      </c>
      <c r="E58" t="inlineStr">
        <is>
          <t>Swing</t>
        </is>
      </c>
      <c r="F58" t="inlineStr">
        <is>
          <t>Blue Harbor Components</t>
        </is>
      </c>
      <c r="G58" t="n">
        <v>850</v>
      </c>
      <c r="H58" t="n">
        <v>784</v>
      </c>
      <c r="I58" t="n">
        <v>28</v>
      </c>
      <c r="J58" t="n">
        <v>742</v>
      </c>
      <c r="K58" t="n">
        <v>29.9</v>
      </c>
      <c r="L58" t="inlineStr">
        <is>
          <t>No</t>
        </is>
      </c>
      <c r="M58" t="inlineStr">
        <is>
          <t>Normal variation</t>
        </is>
      </c>
      <c r="N58" s="2">
        <f>I58/H58</f>
        <v/>
      </c>
      <c r="O58" s="2">
        <f>J58/H58</f>
        <v/>
      </c>
      <c r="P58">
        <f>H58-G58</f>
        <v/>
      </c>
      <c r="Q58">
        <f>IF(N58&gt;0.04,"High",IF(N58&gt;0.03,"Medium","Low"))</f>
        <v/>
      </c>
    </row>
    <row r="59">
      <c r="A59" t="inlineStr">
        <is>
          <t>NM-04-32</t>
        </is>
      </c>
      <c r="B59" t="inlineStr">
        <is>
          <t>2026-07-27</t>
        </is>
      </c>
      <c r="C59" t="inlineStr">
        <is>
          <t>Lakeside Components</t>
        </is>
      </c>
      <c r="D59" t="inlineStr">
        <is>
          <t>Battery Controller</t>
        </is>
      </c>
      <c r="E59" t="inlineStr">
        <is>
          <t>Day</t>
        </is>
      </c>
      <c r="F59" t="inlineStr">
        <is>
          <t>Pioneer Circuit Works</t>
        </is>
      </c>
      <c r="G59" t="n">
        <v>1000</v>
      </c>
      <c r="H59" t="n">
        <v>998</v>
      </c>
      <c r="I59" t="n">
        <v>13</v>
      </c>
      <c r="J59" t="n">
        <v>979</v>
      </c>
      <c r="K59" t="n">
        <v>45.8</v>
      </c>
      <c r="L59" t="inlineStr">
        <is>
          <t>No</t>
        </is>
      </c>
      <c r="M59" t="inlineStr">
        <is>
          <t>Normal variation</t>
        </is>
      </c>
      <c r="N59" s="2">
        <f>I59/H59</f>
        <v/>
      </c>
      <c r="O59" s="2">
        <f>J59/H59</f>
        <v/>
      </c>
      <c r="P59">
        <f>H59-G59</f>
        <v/>
      </c>
      <c r="Q59">
        <f>IF(N59&gt;0.04,"High",IF(N59&gt;0.03,"Medium","Low"))</f>
        <v/>
      </c>
    </row>
    <row r="60">
      <c r="A60" t="inlineStr">
        <is>
          <t>NM-04-33</t>
        </is>
      </c>
      <c r="B60" t="inlineStr">
        <is>
          <t>2026-07-27</t>
        </is>
      </c>
      <c r="C60" t="inlineStr">
        <is>
          <t>Lakeside Components</t>
        </is>
      </c>
      <c r="D60" t="inlineStr">
        <is>
          <t>Infotainment Harness</t>
        </is>
      </c>
      <c r="E60" t="inlineStr">
        <is>
          <t>Day</t>
        </is>
      </c>
      <c r="F60" t="inlineStr">
        <is>
          <t>Summit Plastics</t>
        </is>
      </c>
      <c r="G60" t="n">
        <v>982</v>
      </c>
      <c r="H60" t="n">
        <v>926</v>
      </c>
      <c r="I60" t="n">
        <v>26</v>
      </c>
      <c r="J60" t="n">
        <v>892</v>
      </c>
      <c r="K60" t="n">
        <v>43.6</v>
      </c>
      <c r="L60" t="inlineStr">
        <is>
          <t>No</t>
        </is>
      </c>
      <c r="M60" t="inlineStr">
        <is>
          <t>Normal variation</t>
        </is>
      </c>
      <c r="N60" s="2">
        <f>I60/H60</f>
        <v/>
      </c>
      <c r="O60" s="2">
        <f>J60/H60</f>
        <v/>
      </c>
      <c r="P60">
        <f>H60-G60</f>
        <v/>
      </c>
      <c r="Q60">
        <f>IF(N60&gt;0.04,"High",IF(N60&gt;0.03,"Medium","Low"))</f>
        <v/>
      </c>
    </row>
    <row r="61">
      <c r="A61" t="inlineStr">
        <is>
          <t>NM-04-34</t>
        </is>
      </c>
      <c r="B61" t="inlineStr">
        <is>
          <t>2026-07-27</t>
        </is>
      </c>
      <c r="C61" t="inlineStr">
        <is>
          <t>Lakeside Components</t>
        </is>
      </c>
      <c r="D61" t="inlineStr">
        <is>
          <t>Drive Unit Housing</t>
        </is>
      </c>
      <c r="E61" t="inlineStr">
        <is>
          <t>Night</t>
        </is>
      </c>
      <c r="F61" t="inlineStr">
        <is>
          <t>Cedar Forge</t>
        </is>
      </c>
      <c r="G61" t="n">
        <v>1088</v>
      </c>
      <c r="H61" t="n">
        <v>1010</v>
      </c>
      <c r="I61" t="n">
        <v>40</v>
      </c>
      <c r="J61" t="n">
        <v>986</v>
      </c>
      <c r="K61" t="n">
        <v>43.2</v>
      </c>
      <c r="L61" t="inlineStr">
        <is>
          <t>No</t>
        </is>
      </c>
      <c r="M61" t="inlineStr">
        <is>
          <t>Normal variation</t>
        </is>
      </c>
      <c r="N61" s="2">
        <f>I61/H61</f>
        <v/>
      </c>
      <c r="O61" s="2">
        <f>J61/H61</f>
        <v/>
      </c>
      <c r="P61">
        <f>H61-G61</f>
        <v/>
      </c>
      <c r="Q61">
        <f>IF(N61&gt;0.04,"High",IF(N61&gt;0.03,"Medium","Low"))</f>
        <v/>
      </c>
    </row>
    <row r="62">
      <c r="A62" t="inlineStr">
        <is>
          <t>NM-04-41</t>
        </is>
      </c>
      <c r="B62" t="inlineStr">
        <is>
          <t>2026-07-27</t>
        </is>
      </c>
      <c r="C62" t="inlineStr">
        <is>
          <t>Metro EV Systems</t>
        </is>
      </c>
      <c r="D62" t="inlineStr">
        <is>
          <t>Sensor Module</t>
        </is>
      </c>
      <c r="E62" t="inlineStr">
        <is>
          <t>Night</t>
        </is>
      </c>
      <c r="F62" t="inlineStr">
        <is>
          <t>Pioneer Circuit Works</t>
        </is>
      </c>
      <c r="G62" t="n">
        <v>882</v>
      </c>
      <c r="H62" t="n">
        <v>848</v>
      </c>
      <c r="I62" t="n">
        <v>20</v>
      </c>
      <c r="J62" t="n">
        <v>797</v>
      </c>
      <c r="K62" t="n">
        <v>45.9</v>
      </c>
      <c r="L62" t="inlineStr">
        <is>
          <t>No</t>
        </is>
      </c>
      <c r="M62" t="inlineStr">
        <is>
          <t>Normal variation</t>
        </is>
      </c>
      <c r="N62" s="2">
        <f>I62/H62</f>
        <v/>
      </c>
      <c r="O62" s="2">
        <f>J62/H62</f>
        <v/>
      </c>
      <c r="P62">
        <f>H62-G62</f>
        <v/>
      </c>
      <c r="Q62">
        <f>IF(N62&gt;0.04,"High",IF(N62&gt;0.03,"Medium","Low"))</f>
        <v/>
      </c>
    </row>
    <row r="63">
      <c r="A63" t="inlineStr">
        <is>
          <t>NM-04-42</t>
        </is>
      </c>
      <c r="B63" t="inlineStr">
        <is>
          <t>2026-07-27</t>
        </is>
      </c>
      <c r="C63" t="inlineStr">
        <is>
          <t>Metro EV Systems</t>
        </is>
      </c>
      <c r="D63" t="inlineStr">
        <is>
          <t>Battery Controller</t>
        </is>
      </c>
      <c r="E63" t="inlineStr">
        <is>
          <t>Day</t>
        </is>
      </c>
      <c r="F63" t="inlineStr">
        <is>
          <t>Pioneer Circuit Works</t>
        </is>
      </c>
      <c r="G63" t="n">
        <v>1048</v>
      </c>
      <c r="H63" t="n">
        <v>969</v>
      </c>
      <c r="I63" t="n">
        <v>20</v>
      </c>
      <c r="J63" t="n">
        <v>889</v>
      </c>
      <c r="K63" t="n">
        <v>33.2</v>
      </c>
      <c r="L63" t="inlineStr">
        <is>
          <t>No</t>
        </is>
      </c>
      <c r="M63" t="inlineStr">
        <is>
          <t>Normal variation</t>
        </is>
      </c>
      <c r="N63" s="2">
        <f>I63/H63</f>
        <v/>
      </c>
      <c r="O63" s="2">
        <f>J63/H63</f>
        <v/>
      </c>
      <c r="P63">
        <f>H63-G63</f>
        <v/>
      </c>
      <c r="Q63">
        <f>IF(N63&gt;0.04,"High",IF(N63&gt;0.03,"Medium","Low"))</f>
        <v/>
      </c>
    </row>
    <row r="64">
      <c r="A64" t="inlineStr">
        <is>
          <t>NM-04-43</t>
        </is>
      </c>
      <c r="B64" t="inlineStr">
        <is>
          <t>2026-07-27</t>
        </is>
      </c>
      <c r="C64" t="inlineStr">
        <is>
          <t>Metro EV Systems</t>
        </is>
      </c>
      <c r="D64" t="inlineStr">
        <is>
          <t>Infotainment Harness</t>
        </is>
      </c>
      <c r="E64" t="inlineStr">
        <is>
          <t>Swing</t>
        </is>
      </c>
      <c r="F64" t="inlineStr">
        <is>
          <t>Pioneer Circuit Works</t>
        </is>
      </c>
      <c r="G64" t="n">
        <v>934</v>
      </c>
      <c r="H64" t="n">
        <v>854</v>
      </c>
      <c r="I64" t="n">
        <v>23</v>
      </c>
      <c r="J64" t="n">
        <v>784</v>
      </c>
      <c r="K64" t="n">
        <v>34.4</v>
      </c>
      <c r="L64" t="inlineStr">
        <is>
          <t>No</t>
        </is>
      </c>
      <c r="M64" t="inlineStr">
        <is>
          <t>Normal variation</t>
        </is>
      </c>
      <c r="N64" s="2">
        <f>I64/H64</f>
        <v/>
      </c>
      <c r="O64" s="2">
        <f>J64/H64</f>
        <v/>
      </c>
      <c r="P64">
        <f>H64-G64</f>
        <v/>
      </c>
      <c r="Q64">
        <f>IF(N64&gt;0.04,"High",IF(N64&gt;0.03,"Medium","Low"))</f>
        <v/>
      </c>
    </row>
    <row r="65">
      <c r="A65" t="inlineStr">
        <is>
          <t>NM-04-44</t>
        </is>
      </c>
      <c r="B65" t="inlineStr">
        <is>
          <t>2026-07-27</t>
        </is>
      </c>
      <c r="C65" t="inlineStr">
        <is>
          <t>Metro EV Systems</t>
        </is>
      </c>
      <c r="D65" t="inlineStr">
        <is>
          <t>Drive Unit Housing</t>
        </is>
      </c>
      <c r="E65" t="inlineStr">
        <is>
          <t>Night</t>
        </is>
      </c>
      <c r="F65" t="inlineStr">
        <is>
          <t>Blue Harbor Components</t>
        </is>
      </c>
      <c r="G65" t="n">
        <v>1160</v>
      </c>
      <c r="H65" t="n">
        <v>1062</v>
      </c>
      <c r="I65" t="n">
        <v>21</v>
      </c>
      <c r="J65" t="n">
        <v>981</v>
      </c>
      <c r="K65" t="n">
        <v>36.9</v>
      </c>
      <c r="L65" t="inlineStr">
        <is>
          <t>No</t>
        </is>
      </c>
      <c r="M65" t="inlineStr">
        <is>
          <t>Normal variation</t>
        </is>
      </c>
      <c r="N65" s="2">
        <f>I65/H65</f>
        <v/>
      </c>
      <c r="O65" s="2">
        <f>J65/H65</f>
        <v/>
      </c>
      <c r="P65">
        <f>H65-G65</f>
        <v/>
      </c>
      <c r="Q65">
        <f>IF(N65&gt;0.04,"High",IF(N65&gt;0.03,"Medium","Low"))</f>
        <v/>
      </c>
    </row>
    <row r="66">
      <c r="A66" t="inlineStr">
        <is>
          <t>NM-05-11</t>
        </is>
      </c>
      <c r="B66" t="inlineStr">
        <is>
          <t>2026-08-03</t>
        </is>
      </c>
      <c r="C66" t="inlineStr">
        <is>
          <t>North Assembly</t>
        </is>
      </c>
      <c r="D66" t="inlineStr">
        <is>
          <t>Sensor Module</t>
        </is>
      </c>
      <c r="E66" t="inlineStr">
        <is>
          <t>Night</t>
        </is>
      </c>
      <c r="F66" t="inlineStr">
        <is>
          <t>Blue Harbor Components</t>
        </is>
      </c>
      <c r="G66" t="n">
        <v>1003</v>
      </c>
      <c r="H66" t="n">
        <v>977</v>
      </c>
      <c r="I66" t="n">
        <v>25</v>
      </c>
      <c r="J66" t="n">
        <v>936</v>
      </c>
      <c r="K66" t="n">
        <v>36</v>
      </c>
      <c r="L66" t="inlineStr">
        <is>
          <t>No</t>
        </is>
      </c>
      <c r="M66" t="inlineStr">
        <is>
          <t>Normal variation</t>
        </is>
      </c>
      <c r="N66" s="2">
        <f>I66/H66</f>
        <v/>
      </c>
      <c r="O66" s="2">
        <f>J66/H66</f>
        <v/>
      </c>
      <c r="P66">
        <f>H66-G66</f>
        <v/>
      </c>
      <c r="Q66">
        <f>IF(N66&gt;0.04,"High",IF(N66&gt;0.03,"Medium","Low"))</f>
        <v/>
      </c>
    </row>
    <row r="67">
      <c r="A67" t="inlineStr">
        <is>
          <t>NM-05-12</t>
        </is>
      </c>
      <c r="B67" t="inlineStr">
        <is>
          <t>2026-08-03</t>
        </is>
      </c>
      <c r="C67" t="inlineStr">
        <is>
          <t>North Assembly</t>
        </is>
      </c>
      <c r="D67" t="inlineStr">
        <is>
          <t>Battery Controller</t>
        </is>
      </c>
      <c r="E67" t="inlineStr">
        <is>
          <t>Night</t>
        </is>
      </c>
      <c r="F67" t="inlineStr">
        <is>
          <t>Vector Embedded</t>
        </is>
      </c>
      <c r="G67" t="n">
        <v>1164</v>
      </c>
      <c r="H67" t="n">
        <v>1050</v>
      </c>
      <c r="I67" t="n">
        <v>42</v>
      </c>
      <c r="J67" t="n">
        <v>986</v>
      </c>
      <c r="K67" t="n">
        <v>33.8</v>
      </c>
      <c r="L67" t="inlineStr">
        <is>
          <t>No</t>
        </is>
      </c>
      <c r="M67" t="inlineStr">
        <is>
          <t>Normal variation</t>
        </is>
      </c>
      <c r="N67" s="2">
        <f>I67/H67</f>
        <v/>
      </c>
      <c r="O67" s="2">
        <f>J67/H67</f>
        <v/>
      </c>
      <c r="P67">
        <f>H67-G67</f>
        <v/>
      </c>
      <c r="Q67">
        <f>IF(N67&gt;0.04,"High",IF(N67&gt;0.03,"Medium","Low"))</f>
        <v/>
      </c>
    </row>
    <row r="68">
      <c r="A68" t="inlineStr">
        <is>
          <t>NM-05-13</t>
        </is>
      </c>
      <c r="B68" t="inlineStr">
        <is>
          <t>2026-08-03</t>
        </is>
      </c>
      <c r="C68" t="inlineStr">
        <is>
          <t>North Assembly</t>
        </is>
      </c>
      <c r="D68" t="inlineStr">
        <is>
          <t>Infotainment Harness</t>
        </is>
      </c>
      <c r="E68" t="inlineStr">
        <is>
          <t>Swing</t>
        </is>
      </c>
      <c r="F68" t="inlineStr">
        <is>
          <t>Vector Embedded</t>
        </is>
      </c>
      <c r="G68" t="n">
        <v>1020</v>
      </c>
      <c r="H68" t="n">
        <v>987</v>
      </c>
      <c r="I68" t="n">
        <v>40</v>
      </c>
      <c r="J68" t="n">
        <v>952</v>
      </c>
      <c r="K68" t="n">
        <v>39.4</v>
      </c>
      <c r="L68" t="inlineStr">
        <is>
          <t>No</t>
        </is>
      </c>
      <c r="M68" t="inlineStr">
        <is>
          <t>Review supplier batch</t>
        </is>
      </c>
      <c r="N68" s="2">
        <f>I68/H68</f>
        <v/>
      </c>
      <c r="O68" s="2">
        <f>J68/H68</f>
        <v/>
      </c>
      <c r="P68">
        <f>H68-G68</f>
        <v/>
      </c>
      <c r="Q68">
        <f>IF(N68&gt;0.04,"High",IF(N68&gt;0.03,"Medium","Low"))</f>
        <v/>
      </c>
    </row>
    <row r="69">
      <c r="A69" t="inlineStr">
        <is>
          <t>NM-05-14</t>
        </is>
      </c>
      <c r="B69" t="inlineStr">
        <is>
          <t>2026-08-03</t>
        </is>
      </c>
      <c r="C69" t="inlineStr">
        <is>
          <t>North Assembly</t>
        </is>
      </c>
      <c r="D69" t="inlineStr">
        <is>
          <t>Drive Unit Housing</t>
        </is>
      </c>
      <c r="E69" t="inlineStr">
        <is>
          <t>Day</t>
        </is>
      </c>
      <c r="F69" t="inlineStr">
        <is>
          <t>Summit Plastics</t>
        </is>
      </c>
      <c r="G69" t="n">
        <v>941</v>
      </c>
      <c r="H69" t="n">
        <v>869</v>
      </c>
      <c r="I69" t="n">
        <v>28</v>
      </c>
      <c r="J69" t="n">
        <v>795</v>
      </c>
      <c r="K69" t="n">
        <v>39</v>
      </c>
      <c r="L69" t="inlineStr">
        <is>
          <t>No</t>
        </is>
      </c>
      <c r="M69" t="inlineStr">
        <is>
          <t>Normal variation</t>
        </is>
      </c>
      <c r="N69" s="2">
        <f>I69/H69</f>
        <v/>
      </c>
      <c r="O69" s="2">
        <f>J69/H69</f>
        <v/>
      </c>
      <c r="P69">
        <f>H69-G69</f>
        <v/>
      </c>
      <c r="Q69">
        <f>IF(N69&gt;0.04,"High",IF(N69&gt;0.03,"Medium","Low"))</f>
        <v/>
      </c>
    </row>
    <row r="70">
      <c r="A70" t="inlineStr">
        <is>
          <t>NM-05-21</t>
        </is>
      </c>
      <c r="B70" t="inlineStr">
        <is>
          <t>2026-08-03</t>
        </is>
      </c>
      <c r="C70" t="inlineStr">
        <is>
          <t>River Rouge Pilot</t>
        </is>
      </c>
      <c r="D70" t="inlineStr">
        <is>
          <t>Sensor Module</t>
        </is>
      </c>
      <c r="E70" t="inlineStr">
        <is>
          <t>Swing</t>
        </is>
      </c>
      <c r="F70" t="inlineStr">
        <is>
          <t>Summit Plastics</t>
        </is>
      </c>
      <c r="G70" t="n">
        <v>1107</v>
      </c>
      <c r="H70" t="n">
        <v>1050</v>
      </c>
      <c r="I70" t="n">
        <v>23</v>
      </c>
      <c r="J70" t="n">
        <v>1005</v>
      </c>
      <c r="K70" t="n">
        <v>50</v>
      </c>
      <c r="L70" t="inlineStr">
        <is>
          <t>Yes</t>
        </is>
      </c>
      <c r="M70" t="inlineStr">
        <is>
          <t>Normal variation</t>
        </is>
      </c>
      <c r="N70" s="2">
        <f>I70/H70</f>
        <v/>
      </c>
      <c r="O70" s="2">
        <f>J70/H70</f>
        <v/>
      </c>
      <c r="P70">
        <f>H70-G70</f>
        <v/>
      </c>
      <c r="Q70">
        <f>IF(N70&gt;0.04,"High",IF(N70&gt;0.03,"Medium","Low"))</f>
        <v/>
      </c>
    </row>
    <row r="71">
      <c r="A71" t="inlineStr">
        <is>
          <t>NM-05-22</t>
        </is>
      </c>
      <c r="B71" t="inlineStr">
        <is>
          <t>2026-08-03</t>
        </is>
      </c>
      <c r="C71" t="inlineStr">
        <is>
          <t>River Rouge Pilot</t>
        </is>
      </c>
      <c r="D71" t="inlineStr">
        <is>
          <t>Battery Controller</t>
        </is>
      </c>
      <c r="E71" t="inlineStr">
        <is>
          <t>Night</t>
        </is>
      </c>
      <c r="F71" t="inlineStr">
        <is>
          <t>Blue Harbor Components</t>
        </is>
      </c>
      <c r="G71" t="n">
        <v>947</v>
      </c>
      <c r="H71" t="n">
        <v>936</v>
      </c>
      <c r="I71" t="n">
        <v>22</v>
      </c>
      <c r="J71" t="n">
        <v>853</v>
      </c>
      <c r="K71" t="n">
        <v>41.9</v>
      </c>
      <c r="L71" t="inlineStr">
        <is>
          <t>No</t>
        </is>
      </c>
      <c r="M71" t="inlineStr">
        <is>
          <t>Normal variation</t>
        </is>
      </c>
      <c r="N71" s="2">
        <f>I71/H71</f>
        <v/>
      </c>
      <c r="O71" s="2">
        <f>J71/H71</f>
        <v/>
      </c>
      <c r="P71">
        <f>H71-G71</f>
        <v/>
      </c>
      <c r="Q71">
        <f>IF(N71&gt;0.04,"High",IF(N71&gt;0.03,"Medium","Low"))</f>
        <v/>
      </c>
    </row>
    <row r="72">
      <c r="A72" t="inlineStr">
        <is>
          <t>NM-05-23</t>
        </is>
      </c>
      <c r="B72" t="inlineStr">
        <is>
          <t>2026-08-03</t>
        </is>
      </c>
      <c r="C72" t="inlineStr">
        <is>
          <t>River Rouge Pilot</t>
        </is>
      </c>
      <c r="D72" t="inlineStr">
        <is>
          <t>Infotainment Harness</t>
        </is>
      </c>
      <c r="E72" t="inlineStr">
        <is>
          <t>Swing</t>
        </is>
      </c>
      <c r="F72" t="inlineStr">
        <is>
          <t>Summit Plastics</t>
        </is>
      </c>
      <c r="G72" t="n">
        <v>1270</v>
      </c>
      <c r="H72" t="n">
        <v>1145</v>
      </c>
      <c r="I72" t="n">
        <v>22</v>
      </c>
      <c r="J72" t="n">
        <v>1059</v>
      </c>
      <c r="K72" t="n">
        <v>39.9</v>
      </c>
      <c r="L72" t="inlineStr">
        <is>
          <t>Yes</t>
        </is>
      </c>
      <c r="M72" t="inlineStr">
        <is>
          <t>Normal variation</t>
        </is>
      </c>
      <c r="N72" s="2">
        <f>I72/H72</f>
        <v/>
      </c>
      <c r="O72" s="2">
        <f>J72/H72</f>
        <v/>
      </c>
      <c r="P72">
        <f>H72-G72</f>
        <v/>
      </c>
      <c r="Q72">
        <f>IF(N72&gt;0.04,"High",IF(N72&gt;0.03,"Medium","Low"))</f>
        <v/>
      </c>
    </row>
    <row r="73">
      <c r="A73" t="inlineStr">
        <is>
          <t>NM-05-24</t>
        </is>
      </c>
      <c r="B73" t="inlineStr">
        <is>
          <t>2026-08-03</t>
        </is>
      </c>
      <c r="C73" t="inlineStr">
        <is>
          <t>River Rouge Pilot</t>
        </is>
      </c>
      <c r="D73" t="inlineStr">
        <is>
          <t>Drive Unit Housing</t>
        </is>
      </c>
      <c r="E73" t="inlineStr">
        <is>
          <t>Swing</t>
        </is>
      </c>
      <c r="F73" t="inlineStr">
        <is>
          <t>Vector Embedded</t>
        </is>
      </c>
      <c r="G73" t="n">
        <v>1154</v>
      </c>
      <c r="H73" t="n">
        <v>1197</v>
      </c>
      <c r="I73" t="n">
        <v>29</v>
      </c>
      <c r="J73" t="n">
        <v>1080</v>
      </c>
      <c r="K73" t="n">
        <v>28.3</v>
      </c>
      <c r="L73" t="inlineStr">
        <is>
          <t>No</t>
        </is>
      </c>
      <c r="M73" t="inlineStr">
        <is>
          <t>Normal variation</t>
        </is>
      </c>
      <c r="N73" s="2">
        <f>I73/H73</f>
        <v/>
      </c>
      <c r="O73" s="2">
        <f>J73/H73</f>
        <v/>
      </c>
      <c r="P73">
        <f>H73-G73</f>
        <v/>
      </c>
      <c r="Q73">
        <f>IF(N73&gt;0.04,"High",IF(N73&gt;0.03,"Medium","Low"))</f>
        <v/>
      </c>
    </row>
    <row r="74">
      <c r="A74" t="inlineStr">
        <is>
          <t>NM-05-31</t>
        </is>
      </c>
      <c r="B74" t="inlineStr">
        <is>
          <t>2026-08-03</t>
        </is>
      </c>
      <c r="C74" t="inlineStr">
        <is>
          <t>Lakeside Components</t>
        </is>
      </c>
      <c r="D74" t="inlineStr">
        <is>
          <t>Sensor Module</t>
        </is>
      </c>
      <c r="E74" t="inlineStr">
        <is>
          <t>Day</t>
        </is>
      </c>
      <c r="F74" t="inlineStr">
        <is>
          <t>Summit Plastics</t>
        </is>
      </c>
      <c r="G74" t="n">
        <v>1264</v>
      </c>
      <c r="H74" t="n">
        <v>1168</v>
      </c>
      <c r="I74" t="n">
        <v>20</v>
      </c>
      <c r="J74" t="n">
        <v>1060</v>
      </c>
      <c r="K74" t="n">
        <v>39.3</v>
      </c>
      <c r="L74" t="inlineStr">
        <is>
          <t>No</t>
        </is>
      </c>
      <c r="M74" t="inlineStr">
        <is>
          <t>Normal variation</t>
        </is>
      </c>
      <c r="N74" s="2">
        <f>I74/H74</f>
        <v/>
      </c>
      <c r="O74" s="2">
        <f>J74/H74</f>
        <v/>
      </c>
      <c r="P74">
        <f>H74-G74</f>
        <v/>
      </c>
      <c r="Q74">
        <f>IF(N74&gt;0.04,"High",IF(N74&gt;0.03,"Medium","Low"))</f>
        <v/>
      </c>
    </row>
    <row r="75">
      <c r="A75" t="inlineStr">
        <is>
          <t>NM-05-32</t>
        </is>
      </c>
      <c r="B75" t="inlineStr">
        <is>
          <t>2026-08-03</t>
        </is>
      </c>
      <c r="C75" t="inlineStr">
        <is>
          <t>Lakeside Components</t>
        </is>
      </c>
      <c r="D75" t="inlineStr">
        <is>
          <t>Battery Controller</t>
        </is>
      </c>
      <c r="E75" t="inlineStr">
        <is>
          <t>Night</t>
        </is>
      </c>
      <c r="F75" t="inlineStr">
        <is>
          <t>Pioneer Circuit Works</t>
        </is>
      </c>
      <c r="G75" t="n">
        <v>911</v>
      </c>
      <c r="H75" t="n">
        <v>868</v>
      </c>
      <c r="I75" t="n">
        <v>18</v>
      </c>
      <c r="J75" t="n">
        <v>785</v>
      </c>
      <c r="K75" t="n">
        <v>40.4</v>
      </c>
      <c r="L75" t="inlineStr">
        <is>
          <t>No</t>
        </is>
      </c>
      <c r="M75" t="inlineStr">
        <is>
          <t>Normal variation</t>
        </is>
      </c>
      <c r="N75" s="2">
        <f>I75/H75</f>
        <v/>
      </c>
      <c r="O75" s="2">
        <f>J75/H75</f>
        <v/>
      </c>
      <c r="P75">
        <f>H75-G75</f>
        <v/>
      </c>
      <c r="Q75">
        <f>IF(N75&gt;0.04,"High",IF(N75&gt;0.03,"Medium","Low"))</f>
        <v/>
      </c>
    </row>
    <row r="76">
      <c r="A76" t="inlineStr">
        <is>
          <t>NM-05-33</t>
        </is>
      </c>
      <c r="B76" t="inlineStr">
        <is>
          <t>2026-08-03</t>
        </is>
      </c>
      <c r="C76" t="inlineStr">
        <is>
          <t>Lakeside Components</t>
        </is>
      </c>
      <c r="D76" t="inlineStr">
        <is>
          <t>Infotainment Harness</t>
        </is>
      </c>
      <c r="E76" t="inlineStr">
        <is>
          <t>Night</t>
        </is>
      </c>
      <c r="F76" t="inlineStr">
        <is>
          <t>Pioneer Circuit Works</t>
        </is>
      </c>
      <c r="G76" t="n">
        <v>1072</v>
      </c>
      <c r="H76" t="n">
        <v>1043</v>
      </c>
      <c r="I76" t="n">
        <v>38</v>
      </c>
      <c r="J76" t="n">
        <v>1006</v>
      </c>
      <c r="K76" t="n">
        <v>44.7</v>
      </c>
      <c r="L76" t="inlineStr">
        <is>
          <t>No</t>
        </is>
      </c>
      <c r="M76" t="inlineStr">
        <is>
          <t>Normal variation</t>
        </is>
      </c>
      <c r="N76" s="2">
        <f>I76/H76</f>
        <v/>
      </c>
      <c r="O76" s="2">
        <f>J76/H76</f>
        <v/>
      </c>
      <c r="P76">
        <f>H76-G76</f>
        <v/>
      </c>
      <c r="Q76">
        <f>IF(N76&gt;0.04,"High",IF(N76&gt;0.03,"Medium","Low"))</f>
        <v/>
      </c>
    </row>
    <row r="77">
      <c r="A77" t="inlineStr">
        <is>
          <t>NM-05-34</t>
        </is>
      </c>
      <c r="B77" t="inlineStr">
        <is>
          <t>2026-08-03</t>
        </is>
      </c>
      <c r="C77" t="inlineStr">
        <is>
          <t>Lakeside Components</t>
        </is>
      </c>
      <c r="D77" t="inlineStr">
        <is>
          <t>Drive Unit Housing</t>
        </is>
      </c>
      <c r="E77" t="inlineStr">
        <is>
          <t>Night</t>
        </is>
      </c>
      <c r="F77" t="inlineStr">
        <is>
          <t>Cedar Forge</t>
        </is>
      </c>
      <c r="G77" t="n">
        <v>868</v>
      </c>
      <c r="H77" t="n">
        <v>841</v>
      </c>
      <c r="I77" t="n">
        <v>27</v>
      </c>
      <c r="J77" t="n">
        <v>790</v>
      </c>
      <c r="K77" t="n">
        <v>58.9</v>
      </c>
      <c r="L77" t="inlineStr">
        <is>
          <t>No</t>
        </is>
      </c>
      <c r="M77" t="inlineStr">
        <is>
          <t>Normal variation</t>
        </is>
      </c>
      <c r="N77" s="2">
        <f>I77/H77</f>
        <v/>
      </c>
      <c r="O77" s="2">
        <f>J77/H77</f>
        <v/>
      </c>
      <c r="P77">
        <f>H77-G77</f>
        <v/>
      </c>
      <c r="Q77">
        <f>IF(N77&gt;0.04,"High",IF(N77&gt;0.03,"Medium","Low"))</f>
        <v/>
      </c>
    </row>
    <row r="78">
      <c r="A78" t="inlineStr">
        <is>
          <t>NM-05-41</t>
        </is>
      </c>
      <c r="B78" t="inlineStr">
        <is>
          <t>2026-08-03</t>
        </is>
      </c>
      <c r="C78" t="inlineStr">
        <is>
          <t>Metro EV Systems</t>
        </is>
      </c>
      <c r="D78" t="inlineStr">
        <is>
          <t>Sensor Module</t>
        </is>
      </c>
      <c r="E78" t="inlineStr">
        <is>
          <t>Swing</t>
        </is>
      </c>
      <c r="F78" t="inlineStr">
        <is>
          <t>Blue Harbor Components</t>
        </is>
      </c>
      <c r="G78" t="n">
        <v>1098</v>
      </c>
      <c r="H78" t="n">
        <v>1009</v>
      </c>
      <c r="I78" t="n">
        <v>23</v>
      </c>
      <c r="J78" t="n">
        <v>898</v>
      </c>
      <c r="K78" t="n">
        <v>41.1</v>
      </c>
      <c r="L78" t="inlineStr">
        <is>
          <t>No</t>
        </is>
      </c>
      <c r="M78" t="inlineStr">
        <is>
          <t>Normal variation</t>
        </is>
      </c>
      <c r="N78" s="2">
        <f>I78/H78</f>
        <v/>
      </c>
      <c r="O78" s="2">
        <f>J78/H78</f>
        <v/>
      </c>
      <c r="P78">
        <f>H78-G78</f>
        <v/>
      </c>
      <c r="Q78">
        <f>IF(N78&gt;0.04,"High",IF(N78&gt;0.03,"Medium","Low"))</f>
        <v/>
      </c>
    </row>
    <row r="79">
      <c r="A79" t="inlineStr">
        <is>
          <t>NM-05-42</t>
        </is>
      </c>
      <c r="B79" t="inlineStr">
        <is>
          <t>2026-08-03</t>
        </is>
      </c>
      <c r="C79" t="inlineStr">
        <is>
          <t>Metro EV Systems</t>
        </is>
      </c>
      <c r="D79" t="inlineStr">
        <is>
          <t>Battery Controller</t>
        </is>
      </c>
      <c r="E79" t="inlineStr">
        <is>
          <t>Day</t>
        </is>
      </c>
      <c r="F79" t="inlineStr">
        <is>
          <t>Summit Plastics</t>
        </is>
      </c>
      <c r="G79" t="n">
        <v>1268</v>
      </c>
      <c r="H79" t="n">
        <v>1264</v>
      </c>
      <c r="I79" t="n">
        <v>20</v>
      </c>
      <c r="J79" t="n">
        <v>1121</v>
      </c>
      <c r="K79" t="n">
        <v>50.9</v>
      </c>
      <c r="L79" t="inlineStr">
        <is>
          <t>No</t>
        </is>
      </c>
      <c r="M79" t="inlineStr">
        <is>
          <t>Normal variation</t>
        </is>
      </c>
      <c r="N79" s="2">
        <f>I79/H79</f>
        <v/>
      </c>
      <c r="O79" s="2">
        <f>J79/H79</f>
        <v/>
      </c>
      <c r="P79">
        <f>H79-G79</f>
        <v/>
      </c>
      <c r="Q79">
        <f>IF(N79&gt;0.04,"High",IF(N79&gt;0.03,"Medium","Low"))</f>
        <v/>
      </c>
    </row>
    <row r="80">
      <c r="A80" t="inlineStr">
        <is>
          <t>NM-05-43</t>
        </is>
      </c>
      <c r="B80" t="inlineStr">
        <is>
          <t>2026-08-03</t>
        </is>
      </c>
      <c r="C80" t="inlineStr">
        <is>
          <t>Metro EV Systems</t>
        </is>
      </c>
      <c r="D80" t="inlineStr">
        <is>
          <t>Infotainment Harness</t>
        </is>
      </c>
      <c r="E80" t="inlineStr">
        <is>
          <t>Swing</t>
        </is>
      </c>
      <c r="F80" t="inlineStr">
        <is>
          <t>Blue Harbor Components</t>
        </is>
      </c>
      <c r="G80" t="n">
        <v>841</v>
      </c>
      <c r="H80" t="n">
        <v>844</v>
      </c>
      <c r="I80" t="n">
        <v>12</v>
      </c>
      <c r="J80" t="n">
        <v>806</v>
      </c>
      <c r="K80" t="n">
        <v>30.3</v>
      </c>
      <c r="L80" t="inlineStr">
        <is>
          <t>No</t>
        </is>
      </c>
      <c r="M80" t="inlineStr">
        <is>
          <t>Normal variation</t>
        </is>
      </c>
      <c r="N80" s="2">
        <f>I80/H80</f>
        <v/>
      </c>
      <c r="O80" s="2">
        <f>J80/H80</f>
        <v/>
      </c>
      <c r="P80">
        <f>H80-G80</f>
        <v/>
      </c>
      <c r="Q80">
        <f>IF(N80&gt;0.04,"High",IF(N80&gt;0.03,"Medium","Low"))</f>
        <v/>
      </c>
    </row>
    <row r="81">
      <c r="A81" t="inlineStr">
        <is>
          <t>NM-05-44</t>
        </is>
      </c>
      <c r="B81" t="inlineStr">
        <is>
          <t>2026-08-03</t>
        </is>
      </c>
      <c r="C81" t="inlineStr">
        <is>
          <t>Metro EV Systems</t>
        </is>
      </c>
      <c r="D81" t="inlineStr">
        <is>
          <t>Drive Unit Housing</t>
        </is>
      </c>
      <c r="E81" t="inlineStr">
        <is>
          <t>Swing</t>
        </is>
      </c>
      <c r="F81" t="inlineStr">
        <is>
          <t>Blue Harbor Components</t>
        </is>
      </c>
      <c r="G81" t="n">
        <v>969</v>
      </c>
      <c r="H81" t="n">
        <v>939</v>
      </c>
      <c r="I81" t="n">
        <v>13</v>
      </c>
      <c r="J81" t="n">
        <v>909</v>
      </c>
      <c r="K81" t="n">
        <v>42.5</v>
      </c>
      <c r="L81" t="inlineStr">
        <is>
          <t>No</t>
        </is>
      </c>
      <c r="M81" t="inlineStr">
        <is>
          <t>Normal variation</t>
        </is>
      </c>
      <c r="N81" s="2">
        <f>I81/H81</f>
        <v/>
      </c>
      <c r="O81" s="2">
        <f>J81/H81</f>
        <v/>
      </c>
      <c r="P81">
        <f>H81-G81</f>
        <v/>
      </c>
      <c r="Q81">
        <f>IF(N81&gt;0.04,"High",IF(N81&gt;0.03,"Medium","Low"))</f>
        <v/>
      </c>
    </row>
    <row r="82">
      <c r="A82" t="inlineStr">
        <is>
          <t>NM-06-11</t>
        </is>
      </c>
      <c r="B82" t="inlineStr">
        <is>
          <t>2026-08-10</t>
        </is>
      </c>
      <c r="C82" t="inlineStr">
        <is>
          <t>North Assembly</t>
        </is>
      </c>
      <c r="D82" t="inlineStr">
        <is>
          <t>Sensor Module</t>
        </is>
      </c>
      <c r="E82" t="inlineStr">
        <is>
          <t>Swing</t>
        </is>
      </c>
      <c r="F82" t="inlineStr">
        <is>
          <t>Summit Plastics</t>
        </is>
      </c>
      <c r="G82" t="n">
        <v>901</v>
      </c>
      <c r="H82" t="n">
        <v>874</v>
      </c>
      <c r="I82" t="n">
        <v>24</v>
      </c>
      <c r="J82" t="n">
        <v>797</v>
      </c>
      <c r="K82" t="n">
        <v>45.7</v>
      </c>
      <c r="L82" t="inlineStr">
        <is>
          <t>No</t>
        </is>
      </c>
      <c r="M82" t="inlineStr">
        <is>
          <t>Normal variation</t>
        </is>
      </c>
      <c r="N82" s="2">
        <f>I82/H82</f>
        <v/>
      </c>
      <c r="O82" s="2">
        <f>J82/H82</f>
        <v/>
      </c>
      <c r="P82">
        <f>H82-G82</f>
        <v/>
      </c>
      <c r="Q82">
        <f>IF(N82&gt;0.04,"High",IF(N82&gt;0.03,"Medium","Low"))</f>
        <v/>
      </c>
    </row>
    <row r="83">
      <c r="A83" t="inlineStr">
        <is>
          <t>NM-06-12</t>
        </is>
      </c>
      <c r="B83" t="inlineStr">
        <is>
          <t>2026-08-10</t>
        </is>
      </c>
      <c r="C83" t="inlineStr">
        <is>
          <t>North Assembly</t>
        </is>
      </c>
      <c r="D83" t="inlineStr">
        <is>
          <t>Battery Controller</t>
        </is>
      </c>
      <c r="E83" t="inlineStr">
        <is>
          <t>Swing</t>
        </is>
      </c>
      <c r="F83" t="inlineStr">
        <is>
          <t>Summit Plastics</t>
        </is>
      </c>
      <c r="G83" t="n">
        <v>841</v>
      </c>
      <c r="H83" t="n">
        <v>862</v>
      </c>
      <c r="I83" t="n">
        <v>11</v>
      </c>
      <c r="J83" t="n">
        <v>789</v>
      </c>
      <c r="K83" t="n">
        <v>53.7</v>
      </c>
      <c r="L83" t="inlineStr">
        <is>
          <t>No</t>
        </is>
      </c>
      <c r="M83" t="inlineStr">
        <is>
          <t>Normal variation</t>
        </is>
      </c>
      <c r="N83" s="2">
        <f>I83/H83</f>
        <v/>
      </c>
      <c r="O83" s="2">
        <f>J83/H83</f>
        <v/>
      </c>
      <c r="P83">
        <f>H83-G83</f>
        <v/>
      </c>
      <c r="Q83">
        <f>IF(N83&gt;0.04,"High",IF(N83&gt;0.03,"Medium","Low"))</f>
        <v/>
      </c>
    </row>
    <row r="84">
      <c r="A84" t="inlineStr">
        <is>
          <t>NM-06-13</t>
        </is>
      </c>
      <c r="B84" t="inlineStr">
        <is>
          <t>2026-08-10</t>
        </is>
      </c>
      <c r="C84" t="inlineStr">
        <is>
          <t>North Assembly</t>
        </is>
      </c>
      <c r="D84" t="inlineStr">
        <is>
          <t>Infotainment Harness</t>
        </is>
      </c>
      <c r="E84" t="inlineStr">
        <is>
          <t>Day</t>
        </is>
      </c>
      <c r="F84" t="inlineStr">
        <is>
          <t>Vector Embedded</t>
        </is>
      </c>
      <c r="G84" t="n">
        <v>1280</v>
      </c>
      <c r="H84" t="n">
        <v>1210</v>
      </c>
      <c r="I84" t="n">
        <v>22</v>
      </c>
      <c r="J84" t="n">
        <v>1102</v>
      </c>
      <c r="K84" t="n">
        <v>57.7</v>
      </c>
      <c r="L84" t="inlineStr">
        <is>
          <t>No</t>
        </is>
      </c>
      <c r="M84" t="inlineStr">
        <is>
          <t>Normal variation</t>
        </is>
      </c>
      <c r="N84" s="2">
        <f>I84/H84</f>
        <v/>
      </c>
      <c r="O84" s="2">
        <f>J84/H84</f>
        <v/>
      </c>
      <c r="P84">
        <f>H84-G84</f>
        <v/>
      </c>
      <c r="Q84">
        <f>IF(N84&gt;0.04,"High",IF(N84&gt;0.03,"Medium","Low"))</f>
        <v/>
      </c>
    </row>
    <row r="85">
      <c r="A85" t="inlineStr">
        <is>
          <t>NM-06-14</t>
        </is>
      </c>
      <c r="B85" t="inlineStr">
        <is>
          <t>2026-08-10</t>
        </is>
      </c>
      <c r="C85" t="inlineStr">
        <is>
          <t>North Assembly</t>
        </is>
      </c>
      <c r="D85" t="inlineStr">
        <is>
          <t>Drive Unit Housing</t>
        </is>
      </c>
      <c r="E85" t="inlineStr">
        <is>
          <t>Swing</t>
        </is>
      </c>
      <c r="F85" t="inlineStr">
        <is>
          <t>Summit Plastics</t>
        </is>
      </c>
      <c r="G85" t="n">
        <v>1215</v>
      </c>
      <c r="H85" t="n">
        <v>1251</v>
      </c>
      <c r="I85" t="n">
        <v>51</v>
      </c>
      <c r="J85" t="n">
        <v>1181</v>
      </c>
      <c r="K85" t="n">
        <v>29.2</v>
      </c>
      <c r="L85" t="inlineStr">
        <is>
          <t>No</t>
        </is>
      </c>
      <c r="M85" t="inlineStr">
        <is>
          <t>Review supplier batch</t>
        </is>
      </c>
      <c r="N85" s="2">
        <f>I85/H85</f>
        <v/>
      </c>
      <c r="O85" s="2">
        <f>J85/H85</f>
        <v/>
      </c>
      <c r="P85">
        <f>H85-G85</f>
        <v/>
      </c>
      <c r="Q85">
        <f>IF(N85&gt;0.04,"High",IF(N85&gt;0.03,"Medium","Low"))</f>
        <v/>
      </c>
    </row>
    <row r="86">
      <c r="A86" t="inlineStr">
        <is>
          <t>NM-06-21</t>
        </is>
      </c>
      <c r="B86" t="inlineStr">
        <is>
          <t>2026-08-10</t>
        </is>
      </c>
      <c r="C86" t="inlineStr">
        <is>
          <t>River Rouge Pilot</t>
        </is>
      </c>
      <c r="D86" t="inlineStr">
        <is>
          <t>Sensor Module</t>
        </is>
      </c>
      <c r="E86" t="inlineStr">
        <is>
          <t>Day</t>
        </is>
      </c>
      <c r="F86" t="inlineStr">
        <is>
          <t>Summit Plastics</t>
        </is>
      </c>
      <c r="G86" t="n">
        <v>868</v>
      </c>
      <c r="H86" t="n">
        <v>788</v>
      </c>
      <c r="I86" t="n">
        <v>32</v>
      </c>
      <c r="J86" t="n">
        <v>753</v>
      </c>
      <c r="K86" t="n">
        <v>62.9</v>
      </c>
      <c r="L86" t="inlineStr">
        <is>
          <t>No</t>
        </is>
      </c>
      <c r="M86" t="inlineStr">
        <is>
          <t>Review supplier batch</t>
        </is>
      </c>
      <c r="N86" s="2">
        <f>I86/H86</f>
        <v/>
      </c>
      <c r="O86" s="2">
        <f>J86/H86</f>
        <v/>
      </c>
      <c r="P86">
        <f>H86-G86</f>
        <v/>
      </c>
      <c r="Q86">
        <f>IF(N86&gt;0.04,"High",IF(N86&gt;0.03,"Medium","Low"))</f>
        <v/>
      </c>
    </row>
    <row r="87">
      <c r="A87" t="inlineStr">
        <is>
          <t>NM-06-22</t>
        </is>
      </c>
      <c r="B87" t="inlineStr">
        <is>
          <t>2026-08-10</t>
        </is>
      </c>
      <c r="C87" t="inlineStr">
        <is>
          <t>River Rouge Pilot</t>
        </is>
      </c>
      <c r="D87" t="inlineStr">
        <is>
          <t>Battery Controller</t>
        </is>
      </c>
      <c r="E87" t="inlineStr">
        <is>
          <t>Swing</t>
        </is>
      </c>
      <c r="F87" t="inlineStr">
        <is>
          <t>Pioneer Circuit Works</t>
        </is>
      </c>
      <c r="G87" t="n">
        <v>1066</v>
      </c>
      <c r="H87" t="n">
        <v>950</v>
      </c>
      <c r="I87" t="n">
        <v>34</v>
      </c>
      <c r="J87" t="n">
        <v>907</v>
      </c>
      <c r="K87" t="n">
        <v>50.5</v>
      </c>
      <c r="L87" t="inlineStr">
        <is>
          <t>No</t>
        </is>
      </c>
      <c r="M87" t="inlineStr">
        <is>
          <t>Normal variation</t>
        </is>
      </c>
      <c r="N87" s="2">
        <f>I87/H87</f>
        <v/>
      </c>
      <c r="O87" s="2">
        <f>J87/H87</f>
        <v/>
      </c>
      <c r="P87">
        <f>H87-G87</f>
        <v/>
      </c>
      <c r="Q87">
        <f>IF(N87&gt;0.04,"High",IF(N87&gt;0.03,"Medium","Low"))</f>
        <v/>
      </c>
    </row>
    <row r="88">
      <c r="A88" t="inlineStr">
        <is>
          <t>NM-06-23</t>
        </is>
      </c>
      <c r="B88" t="inlineStr">
        <is>
          <t>2026-08-10</t>
        </is>
      </c>
      <c r="C88" t="inlineStr">
        <is>
          <t>River Rouge Pilot</t>
        </is>
      </c>
      <c r="D88" t="inlineStr">
        <is>
          <t>Infotainment Harness</t>
        </is>
      </c>
      <c r="E88" t="inlineStr">
        <is>
          <t>Swing</t>
        </is>
      </c>
      <c r="F88" t="inlineStr">
        <is>
          <t>Pioneer Circuit Works</t>
        </is>
      </c>
      <c r="G88" t="n">
        <v>918</v>
      </c>
      <c r="H88" t="n">
        <v>894</v>
      </c>
      <c r="I88" t="n">
        <v>11</v>
      </c>
      <c r="J88" t="n">
        <v>855</v>
      </c>
      <c r="K88" t="n">
        <v>44.5</v>
      </c>
      <c r="L88" t="inlineStr">
        <is>
          <t>Yes</t>
        </is>
      </c>
      <c r="M88" t="inlineStr">
        <is>
          <t>Normal variation</t>
        </is>
      </c>
      <c r="N88" s="2">
        <f>I88/H88</f>
        <v/>
      </c>
      <c r="O88" s="2">
        <f>J88/H88</f>
        <v/>
      </c>
      <c r="P88">
        <f>H88-G88</f>
        <v/>
      </c>
      <c r="Q88">
        <f>IF(N88&gt;0.04,"High",IF(N88&gt;0.03,"Medium","Low"))</f>
        <v/>
      </c>
    </row>
    <row r="89">
      <c r="A89" t="inlineStr">
        <is>
          <t>NM-06-24</t>
        </is>
      </c>
      <c r="B89" t="inlineStr">
        <is>
          <t>2026-08-10</t>
        </is>
      </c>
      <c r="C89" t="inlineStr">
        <is>
          <t>River Rouge Pilot</t>
        </is>
      </c>
      <c r="D89" t="inlineStr">
        <is>
          <t>Drive Unit Housing</t>
        </is>
      </c>
      <c r="E89" t="inlineStr">
        <is>
          <t>Swing</t>
        </is>
      </c>
      <c r="F89" t="inlineStr">
        <is>
          <t>Vector Embedded</t>
        </is>
      </c>
      <c r="G89" t="n">
        <v>958</v>
      </c>
      <c r="H89" t="n">
        <v>891</v>
      </c>
      <c r="I89" t="n">
        <v>28</v>
      </c>
      <c r="J89" t="n">
        <v>824</v>
      </c>
      <c r="K89" t="n">
        <v>32.9</v>
      </c>
      <c r="L89" t="inlineStr">
        <is>
          <t>No</t>
        </is>
      </c>
      <c r="M89" t="inlineStr">
        <is>
          <t>Normal variation</t>
        </is>
      </c>
      <c r="N89" s="2">
        <f>I89/H89</f>
        <v/>
      </c>
      <c r="O89" s="2">
        <f>J89/H89</f>
        <v/>
      </c>
      <c r="P89">
        <f>H89-G89</f>
        <v/>
      </c>
      <c r="Q89">
        <f>IF(N89&gt;0.04,"High",IF(N89&gt;0.03,"Medium","Low"))</f>
        <v/>
      </c>
    </row>
    <row r="90">
      <c r="A90" t="inlineStr">
        <is>
          <t>NM-06-31</t>
        </is>
      </c>
      <c r="B90" t="inlineStr">
        <is>
          <t>2026-08-10</t>
        </is>
      </c>
      <c r="C90" t="inlineStr">
        <is>
          <t>Lakeside Components</t>
        </is>
      </c>
      <c r="D90" t="inlineStr">
        <is>
          <t>Sensor Module</t>
        </is>
      </c>
      <c r="E90" t="inlineStr">
        <is>
          <t>Day</t>
        </is>
      </c>
      <c r="F90" t="inlineStr">
        <is>
          <t>Summit Plastics</t>
        </is>
      </c>
      <c r="G90" t="n">
        <v>1152</v>
      </c>
      <c r="H90" t="n">
        <v>1035</v>
      </c>
      <c r="I90" t="n">
        <v>37</v>
      </c>
      <c r="J90" t="n">
        <v>1016</v>
      </c>
      <c r="K90" t="n">
        <v>38.7</v>
      </c>
      <c r="L90" t="inlineStr">
        <is>
          <t>Yes</t>
        </is>
      </c>
      <c r="M90" t="inlineStr">
        <is>
          <t>Normal variation</t>
        </is>
      </c>
      <c r="N90" s="2">
        <f>I90/H90</f>
        <v/>
      </c>
      <c r="O90" s="2">
        <f>J90/H90</f>
        <v/>
      </c>
      <c r="P90">
        <f>H90-G90</f>
        <v/>
      </c>
      <c r="Q90">
        <f>IF(N90&gt;0.04,"High",IF(N90&gt;0.03,"Medium","Low"))</f>
        <v/>
      </c>
    </row>
    <row r="91">
      <c r="A91" t="inlineStr">
        <is>
          <t>NM-06-32</t>
        </is>
      </c>
      <c r="B91" t="inlineStr">
        <is>
          <t>2026-08-10</t>
        </is>
      </c>
      <c r="C91" t="inlineStr">
        <is>
          <t>Lakeside Components</t>
        </is>
      </c>
      <c r="D91" t="inlineStr">
        <is>
          <t>Battery Controller</t>
        </is>
      </c>
      <c r="E91" t="inlineStr">
        <is>
          <t>Swing</t>
        </is>
      </c>
      <c r="F91" t="inlineStr">
        <is>
          <t>Pioneer Circuit Works</t>
        </is>
      </c>
      <c r="G91" t="n">
        <v>1207</v>
      </c>
      <c r="H91" t="n">
        <v>1106</v>
      </c>
      <c r="I91" t="n">
        <v>13</v>
      </c>
      <c r="J91" t="n">
        <v>1021</v>
      </c>
      <c r="K91" t="n">
        <v>35</v>
      </c>
      <c r="L91" t="inlineStr">
        <is>
          <t>No</t>
        </is>
      </c>
      <c r="M91" t="inlineStr">
        <is>
          <t>Normal variation</t>
        </is>
      </c>
      <c r="N91" s="2">
        <f>I91/H91</f>
        <v/>
      </c>
      <c r="O91" s="2">
        <f>J91/H91</f>
        <v/>
      </c>
      <c r="P91">
        <f>H91-G91</f>
        <v/>
      </c>
      <c r="Q91">
        <f>IF(N91&gt;0.04,"High",IF(N91&gt;0.03,"Medium","Low"))</f>
        <v/>
      </c>
    </row>
    <row r="92">
      <c r="A92" t="inlineStr">
        <is>
          <t>NM-06-33</t>
        </is>
      </c>
      <c r="B92" t="inlineStr">
        <is>
          <t>2026-08-10</t>
        </is>
      </c>
      <c r="C92" t="inlineStr">
        <is>
          <t>Lakeside Components</t>
        </is>
      </c>
      <c r="D92" t="inlineStr">
        <is>
          <t>Infotainment Harness</t>
        </is>
      </c>
      <c r="E92" t="inlineStr">
        <is>
          <t>Night</t>
        </is>
      </c>
      <c r="F92" t="inlineStr">
        <is>
          <t>Vector Embedded</t>
        </is>
      </c>
      <c r="G92" t="n">
        <v>1252</v>
      </c>
      <c r="H92" t="n">
        <v>1166</v>
      </c>
      <c r="I92" t="n">
        <v>15</v>
      </c>
      <c r="J92" t="n">
        <v>1073</v>
      </c>
      <c r="K92" t="n">
        <v>29.6</v>
      </c>
      <c r="L92" t="inlineStr">
        <is>
          <t>No</t>
        </is>
      </c>
      <c r="M92" t="inlineStr">
        <is>
          <t>Normal variation</t>
        </is>
      </c>
      <c r="N92" s="2">
        <f>I92/H92</f>
        <v/>
      </c>
      <c r="O92" s="2">
        <f>J92/H92</f>
        <v/>
      </c>
      <c r="P92">
        <f>H92-G92</f>
        <v/>
      </c>
      <c r="Q92">
        <f>IF(N92&gt;0.04,"High",IF(N92&gt;0.03,"Medium","Low"))</f>
        <v/>
      </c>
    </row>
    <row r="93">
      <c r="A93" t="inlineStr">
        <is>
          <t>NM-06-34</t>
        </is>
      </c>
      <c r="B93" t="inlineStr">
        <is>
          <t>2026-08-10</t>
        </is>
      </c>
      <c r="C93" t="inlineStr">
        <is>
          <t>Lakeside Components</t>
        </is>
      </c>
      <c r="D93" t="inlineStr">
        <is>
          <t>Drive Unit Housing</t>
        </is>
      </c>
      <c r="E93" t="inlineStr">
        <is>
          <t>Day</t>
        </is>
      </c>
      <c r="F93" t="inlineStr">
        <is>
          <t>Cedar Forge</t>
        </is>
      </c>
      <c r="G93" t="n">
        <v>1170</v>
      </c>
      <c r="H93" t="n">
        <v>1165</v>
      </c>
      <c r="I93" t="n">
        <v>34</v>
      </c>
      <c r="J93" t="n">
        <v>1051</v>
      </c>
      <c r="K93" t="n">
        <v>55.3</v>
      </c>
      <c r="L93" t="inlineStr">
        <is>
          <t>No</t>
        </is>
      </c>
      <c r="M93" t="inlineStr">
        <is>
          <t>Normal variation</t>
        </is>
      </c>
      <c r="N93" s="2">
        <f>I93/H93</f>
        <v/>
      </c>
      <c r="O93" s="2">
        <f>J93/H93</f>
        <v/>
      </c>
      <c r="P93">
        <f>H93-G93</f>
        <v/>
      </c>
      <c r="Q93">
        <f>IF(N93&gt;0.04,"High",IF(N93&gt;0.03,"Medium","Low"))</f>
        <v/>
      </c>
    </row>
    <row r="94">
      <c r="A94" t="inlineStr">
        <is>
          <t>NM-06-41</t>
        </is>
      </c>
      <c r="B94" t="inlineStr">
        <is>
          <t>2026-08-10</t>
        </is>
      </c>
      <c r="C94" t="inlineStr">
        <is>
          <t>Metro EV Systems</t>
        </is>
      </c>
      <c r="D94" t="inlineStr">
        <is>
          <t>Sensor Module</t>
        </is>
      </c>
      <c r="E94" t="inlineStr">
        <is>
          <t>Swing</t>
        </is>
      </c>
      <c r="F94" t="inlineStr">
        <is>
          <t>Pioneer Circuit Works</t>
        </is>
      </c>
      <c r="G94" t="n">
        <v>1259</v>
      </c>
      <c r="H94" t="n">
        <v>1296</v>
      </c>
      <c r="I94" t="n">
        <v>48</v>
      </c>
      <c r="J94" t="n">
        <v>1246</v>
      </c>
      <c r="K94" t="n">
        <v>41.3</v>
      </c>
      <c r="L94" t="inlineStr">
        <is>
          <t>No</t>
        </is>
      </c>
      <c r="M94" t="inlineStr">
        <is>
          <t>Normal variation</t>
        </is>
      </c>
      <c r="N94" s="2">
        <f>I94/H94</f>
        <v/>
      </c>
      <c r="O94" s="2">
        <f>J94/H94</f>
        <v/>
      </c>
      <c r="P94">
        <f>H94-G94</f>
        <v/>
      </c>
      <c r="Q94">
        <f>IF(N94&gt;0.04,"High",IF(N94&gt;0.03,"Medium","Low"))</f>
        <v/>
      </c>
    </row>
    <row r="95">
      <c r="A95" t="inlineStr">
        <is>
          <t>NM-06-42</t>
        </is>
      </c>
      <c r="B95" t="inlineStr">
        <is>
          <t>2026-08-10</t>
        </is>
      </c>
      <c r="C95" t="inlineStr">
        <is>
          <t>Metro EV Systems</t>
        </is>
      </c>
      <c r="D95" t="inlineStr">
        <is>
          <t>Battery Controller</t>
        </is>
      </c>
      <c r="E95" t="inlineStr">
        <is>
          <t>Night</t>
        </is>
      </c>
      <c r="F95" t="inlineStr">
        <is>
          <t>Pioneer Circuit Works</t>
        </is>
      </c>
      <c r="G95" t="n">
        <v>825</v>
      </c>
      <c r="H95" t="n">
        <v>835</v>
      </c>
      <c r="I95" t="n">
        <v>31</v>
      </c>
      <c r="J95" t="n">
        <v>761</v>
      </c>
      <c r="K95" t="n">
        <v>28.8</v>
      </c>
      <c r="L95" t="inlineStr">
        <is>
          <t>No</t>
        </is>
      </c>
      <c r="M95" t="inlineStr">
        <is>
          <t>Normal variation</t>
        </is>
      </c>
      <c r="N95" s="2">
        <f>I95/H95</f>
        <v/>
      </c>
      <c r="O95" s="2">
        <f>J95/H95</f>
        <v/>
      </c>
      <c r="P95">
        <f>H95-G95</f>
        <v/>
      </c>
      <c r="Q95">
        <f>IF(N95&gt;0.04,"High",IF(N95&gt;0.03,"Medium","Low"))</f>
        <v/>
      </c>
    </row>
    <row r="96">
      <c r="A96" t="inlineStr">
        <is>
          <t>NM-06-43</t>
        </is>
      </c>
      <c r="B96" t="inlineStr">
        <is>
          <t>2026-08-10</t>
        </is>
      </c>
      <c r="C96" t="inlineStr">
        <is>
          <t>Metro EV Systems</t>
        </is>
      </c>
      <c r="D96" t="inlineStr">
        <is>
          <t>Infotainment Harness</t>
        </is>
      </c>
      <c r="E96" t="inlineStr">
        <is>
          <t>Night</t>
        </is>
      </c>
      <c r="F96" t="inlineStr">
        <is>
          <t>Vector Embedded</t>
        </is>
      </c>
      <c r="G96" t="n">
        <v>956</v>
      </c>
      <c r="H96" t="n">
        <v>944</v>
      </c>
      <c r="I96" t="n">
        <v>17</v>
      </c>
      <c r="J96" t="n">
        <v>875</v>
      </c>
      <c r="K96" t="n">
        <v>40.4</v>
      </c>
      <c r="L96" t="inlineStr">
        <is>
          <t>No</t>
        </is>
      </c>
      <c r="M96" t="inlineStr">
        <is>
          <t>Normal variation</t>
        </is>
      </c>
      <c r="N96" s="2">
        <f>I96/H96</f>
        <v/>
      </c>
      <c r="O96" s="2">
        <f>J96/H96</f>
        <v/>
      </c>
      <c r="P96">
        <f>H96-G96</f>
        <v/>
      </c>
      <c r="Q96">
        <f>IF(N96&gt;0.04,"High",IF(N96&gt;0.03,"Medium","Low"))</f>
        <v/>
      </c>
    </row>
    <row r="97">
      <c r="A97" t="inlineStr">
        <is>
          <t>NM-06-44</t>
        </is>
      </c>
      <c r="B97" t="inlineStr">
        <is>
          <t>2026-08-10</t>
        </is>
      </c>
      <c r="C97" t="inlineStr">
        <is>
          <t>Metro EV Systems</t>
        </is>
      </c>
      <c r="D97" t="inlineStr">
        <is>
          <t>Drive Unit Housing</t>
        </is>
      </c>
      <c r="E97" t="inlineStr">
        <is>
          <t>Day</t>
        </is>
      </c>
      <c r="F97" t="inlineStr">
        <is>
          <t>Summit Plastics</t>
        </is>
      </c>
      <c r="G97" t="n">
        <v>838</v>
      </c>
      <c r="H97" t="n">
        <v>811</v>
      </c>
      <c r="I97" t="n">
        <v>21</v>
      </c>
      <c r="J97" t="n">
        <v>778</v>
      </c>
      <c r="K97" t="n">
        <v>29.5</v>
      </c>
      <c r="L97" t="inlineStr">
        <is>
          <t>Yes</t>
        </is>
      </c>
      <c r="M97" t="inlineStr">
        <is>
          <t>Normal variation</t>
        </is>
      </c>
      <c r="N97" s="2">
        <f>I97/H97</f>
        <v/>
      </c>
      <c r="O97" s="2">
        <f>J97/H97</f>
        <v/>
      </c>
      <c r="P97">
        <f>H97-G97</f>
        <v/>
      </c>
      <c r="Q97">
        <f>IF(N97&gt;0.04,"High",IF(N97&gt;0.03,"Medium","Low"))</f>
        <v/>
      </c>
    </row>
    <row r="98">
      <c r="A98" t="inlineStr">
        <is>
          <t>NM-07-11</t>
        </is>
      </c>
      <c r="B98" t="inlineStr">
        <is>
          <t>2026-08-17</t>
        </is>
      </c>
      <c r="C98" t="inlineStr">
        <is>
          <t>North Assembly</t>
        </is>
      </c>
      <c r="D98" t="inlineStr">
        <is>
          <t>Sensor Module</t>
        </is>
      </c>
      <c r="E98" t="inlineStr">
        <is>
          <t>Night</t>
        </is>
      </c>
      <c r="F98" t="inlineStr">
        <is>
          <t>Vector Embedded</t>
        </is>
      </c>
      <c r="G98" t="n">
        <v>996</v>
      </c>
      <c r="H98" t="n">
        <v>941</v>
      </c>
      <c r="I98" t="n">
        <v>27</v>
      </c>
      <c r="J98" t="n">
        <v>893</v>
      </c>
      <c r="K98" t="n">
        <v>34.1</v>
      </c>
      <c r="L98" t="inlineStr">
        <is>
          <t>No</t>
        </is>
      </c>
      <c r="M98" t="inlineStr">
        <is>
          <t>Normal variation</t>
        </is>
      </c>
      <c r="N98" s="2">
        <f>I98/H98</f>
        <v/>
      </c>
      <c r="O98" s="2">
        <f>J98/H98</f>
        <v/>
      </c>
      <c r="P98">
        <f>H98-G98</f>
        <v/>
      </c>
      <c r="Q98">
        <f>IF(N98&gt;0.04,"High",IF(N98&gt;0.03,"Medium","Low"))</f>
        <v/>
      </c>
    </row>
    <row r="99">
      <c r="A99" t="inlineStr">
        <is>
          <t>NM-07-12</t>
        </is>
      </c>
      <c r="B99" t="inlineStr">
        <is>
          <t>2026-08-17</t>
        </is>
      </c>
      <c r="C99" t="inlineStr">
        <is>
          <t>North Assembly</t>
        </is>
      </c>
      <c r="D99" t="inlineStr">
        <is>
          <t>Battery Controller</t>
        </is>
      </c>
      <c r="E99" t="inlineStr">
        <is>
          <t>Night</t>
        </is>
      </c>
      <c r="F99" t="inlineStr">
        <is>
          <t>Blue Harbor Components</t>
        </is>
      </c>
      <c r="G99" t="n">
        <v>1142</v>
      </c>
      <c r="H99" t="n">
        <v>1176</v>
      </c>
      <c r="I99" t="n">
        <v>47</v>
      </c>
      <c r="J99" t="n">
        <v>1111</v>
      </c>
      <c r="K99" t="n">
        <v>59.8</v>
      </c>
      <c r="L99" t="inlineStr">
        <is>
          <t>No</t>
        </is>
      </c>
      <c r="M99" t="inlineStr">
        <is>
          <t>Normal variation</t>
        </is>
      </c>
      <c r="N99" s="2">
        <f>I99/H99</f>
        <v/>
      </c>
      <c r="O99" s="2">
        <f>J99/H99</f>
        <v/>
      </c>
      <c r="P99">
        <f>H99-G99</f>
        <v/>
      </c>
      <c r="Q99">
        <f>IF(N99&gt;0.04,"High",IF(N99&gt;0.03,"Medium","Low"))</f>
        <v/>
      </c>
    </row>
    <row r="100">
      <c r="A100" t="inlineStr">
        <is>
          <t>NM-07-13</t>
        </is>
      </c>
      <c r="B100" t="inlineStr">
        <is>
          <t>2026-08-17</t>
        </is>
      </c>
      <c r="C100" t="inlineStr">
        <is>
          <t>North Assembly</t>
        </is>
      </c>
      <c r="D100" t="inlineStr">
        <is>
          <t>Infotainment Harness</t>
        </is>
      </c>
      <c r="E100" t="inlineStr">
        <is>
          <t>Swing</t>
        </is>
      </c>
      <c r="F100" t="inlineStr">
        <is>
          <t>Pioneer Circuit Works</t>
        </is>
      </c>
      <c r="G100" t="n">
        <v>855</v>
      </c>
      <c r="H100" t="n">
        <v>851</v>
      </c>
      <c r="I100" t="n">
        <v>18</v>
      </c>
      <c r="J100" t="n">
        <v>775</v>
      </c>
      <c r="K100" t="n">
        <v>48.9</v>
      </c>
      <c r="L100" t="inlineStr">
        <is>
          <t>No</t>
        </is>
      </c>
      <c r="M100" t="inlineStr">
        <is>
          <t>Normal variation</t>
        </is>
      </c>
      <c r="N100" s="2">
        <f>I100/H100</f>
        <v/>
      </c>
      <c r="O100" s="2">
        <f>J100/H100</f>
        <v/>
      </c>
      <c r="P100">
        <f>H100-G100</f>
        <v/>
      </c>
      <c r="Q100">
        <f>IF(N100&gt;0.04,"High",IF(N100&gt;0.03,"Medium","Low"))</f>
        <v/>
      </c>
    </row>
    <row r="101">
      <c r="A101" t="inlineStr">
        <is>
          <t>NM-07-14</t>
        </is>
      </c>
      <c r="B101" t="inlineStr">
        <is>
          <t>2026-08-17</t>
        </is>
      </c>
      <c r="C101" t="inlineStr">
        <is>
          <t>North Assembly</t>
        </is>
      </c>
      <c r="D101" t="inlineStr">
        <is>
          <t>Drive Unit Housing</t>
        </is>
      </c>
      <c r="E101" t="inlineStr">
        <is>
          <t>Swing</t>
        </is>
      </c>
      <c r="F101" t="inlineStr">
        <is>
          <t>Summit Plastics</t>
        </is>
      </c>
      <c r="G101" t="n">
        <v>1227</v>
      </c>
      <c r="H101" t="n">
        <v>1218</v>
      </c>
      <c r="I101" t="n">
        <v>32</v>
      </c>
      <c r="J101" t="n">
        <v>1132</v>
      </c>
      <c r="K101" t="n">
        <v>60</v>
      </c>
      <c r="L101" t="inlineStr">
        <is>
          <t>No</t>
        </is>
      </c>
      <c r="M101" t="inlineStr">
        <is>
          <t>Normal variation</t>
        </is>
      </c>
      <c r="N101" s="2">
        <f>I101/H101</f>
        <v/>
      </c>
      <c r="O101" s="2">
        <f>J101/H101</f>
        <v/>
      </c>
      <c r="P101">
        <f>H101-G101</f>
        <v/>
      </c>
      <c r="Q101">
        <f>IF(N101&gt;0.04,"High",IF(N101&gt;0.03,"Medium","Low"))</f>
        <v/>
      </c>
    </row>
    <row r="102">
      <c r="A102" t="inlineStr">
        <is>
          <t>NM-07-21</t>
        </is>
      </c>
      <c r="B102" t="inlineStr">
        <is>
          <t>2026-08-17</t>
        </is>
      </c>
      <c r="C102" t="inlineStr">
        <is>
          <t>River Rouge Pilot</t>
        </is>
      </c>
      <c r="D102" t="inlineStr">
        <is>
          <t>Sensor Module</t>
        </is>
      </c>
      <c r="E102" t="inlineStr">
        <is>
          <t>Swing</t>
        </is>
      </c>
      <c r="F102" t="inlineStr">
        <is>
          <t>Pioneer Circuit Works</t>
        </is>
      </c>
      <c r="G102" t="n">
        <v>856</v>
      </c>
      <c r="H102" t="n">
        <v>871</v>
      </c>
      <c r="I102" t="n">
        <v>34</v>
      </c>
      <c r="J102" t="n">
        <v>767</v>
      </c>
      <c r="K102" t="n">
        <v>38</v>
      </c>
      <c r="L102" t="inlineStr">
        <is>
          <t>Yes</t>
        </is>
      </c>
      <c r="M102" t="inlineStr">
        <is>
          <t>Normal variation</t>
        </is>
      </c>
      <c r="N102" s="2">
        <f>I102/H102</f>
        <v/>
      </c>
      <c r="O102" s="2">
        <f>J102/H102</f>
        <v/>
      </c>
      <c r="P102">
        <f>H102-G102</f>
        <v/>
      </c>
      <c r="Q102">
        <f>IF(N102&gt;0.04,"High",IF(N102&gt;0.03,"Medium","Low"))</f>
        <v/>
      </c>
    </row>
    <row r="103">
      <c r="A103" t="inlineStr">
        <is>
          <t>NM-07-22</t>
        </is>
      </c>
      <c r="B103" t="inlineStr">
        <is>
          <t>2026-08-17</t>
        </is>
      </c>
      <c r="C103" t="inlineStr">
        <is>
          <t>River Rouge Pilot</t>
        </is>
      </c>
      <c r="D103" t="inlineStr">
        <is>
          <t>Battery Controller</t>
        </is>
      </c>
      <c r="E103" t="inlineStr">
        <is>
          <t>Day</t>
        </is>
      </c>
      <c r="F103" t="inlineStr">
        <is>
          <t>Cedar Forge</t>
        </is>
      </c>
      <c r="G103" t="n">
        <v>1146</v>
      </c>
      <c r="H103" t="n">
        <v>1095</v>
      </c>
      <c r="I103" t="n">
        <v>26</v>
      </c>
      <c r="J103" t="n">
        <v>1060</v>
      </c>
      <c r="K103" t="n">
        <v>44.6</v>
      </c>
      <c r="L103" t="inlineStr">
        <is>
          <t>No</t>
        </is>
      </c>
      <c r="M103" t="inlineStr">
        <is>
          <t>Normal variation</t>
        </is>
      </c>
      <c r="N103" s="2">
        <f>I103/H103</f>
        <v/>
      </c>
      <c r="O103" s="2">
        <f>J103/H103</f>
        <v/>
      </c>
      <c r="P103">
        <f>H103-G103</f>
        <v/>
      </c>
      <c r="Q103">
        <f>IF(N103&gt;0.04,"High",IF(N103&gt;0.03,"Medium","Low"))</f>
        <v/>
      </c>
    </row>
    <row r="104">
      <c r="A104" t="inlineStr">
        <is>
          <t>NM-07-23</t>
        </is>
      </c>
      <c r="B104" t="inlineStr">
        <is>
          <t>2026-08-17</t>
        </is>
      </c>
      <c r="C104" t="inlineStr">
        <is>
          <t>River Rouge Pilot</t>
        </is>
      </c>
      <c r="D104" t="inlineStr">
        <is>
          <t>Infotainment Harness</t>
        </is>
      </c>
      <c r="E104" t="inlineStr">
        <is>
          <t>Night</t>
        </is>
      </c>
      <c r="F104" t="inlineStr">
        <is>
          <t>Summit Plastics</t>
        </is>
      </c>
      <c r="G104" t="n">
        <v>1048</v>
      </c>
      <c r="H104" t="n">
        <v>1035</v>
      </c>
      <c r="I104" t="n">
        <v>16</v>
      </c>
      <c r="J104" t="n">
        <v>995</v>
      </c>
      <c r="K104" t="n">
        <v>63.3</v>
      </c>
      <c r="L104" t="inlineStr">
        <is>
          <t>Yes</t>
        </is>
      </c>
      <c r="M104" t="inlineStr">
        <is>
          <t>Normal variation</t>
        </is>
      </c>
      <c r="N104" s="2">
        <f>I104/H104</f>
        <v/>
      </c>
      <c r="O104" s="2">
        <f>J104/H104</f>
        <v/>
      </c>
      <c r="P104">
        <f>H104-G104</f>
        <v/>
      </c>
      <c r="Q104">
        <f>IF(N104&gt;0.04,"High",IF(N104&gt;0.03,"Medium","Low"))</f>
        <v/>
      </c>
    </row>
    <row r="105">
      <c r="A105" t="inlineStr">
        <is>
          <t>NM-07-24</t>
        </is>
      </c>
      <c r="B105" t="inlineStr">
        <is>
          <t>2026-08-17</t>
        </is>
      </c>
      <c r="C105" t="inlineStr">
        <is>
          <t>River Rouge Pilot</t>
        </is>
      </c>
      <c r="D105" t="inlineStr">
        <is>
          <t>Drive Unit Housing</t>
        </is>
      </c>
      <c r="E105" t="inlineStr">
        <is>
          <t>Night</t>
        </is>
      </c>
      <c r="F105" t="inlineStr">
        <is>
          <t>Summit Plastics</t>
        </is>
      </c>
      <c r="G105" t="n">
        <v>1239</v>
      </c>
      <c r="H105" t="n">
        <v>1170</v>
      </c>
      <c r="I105" t="n">
        <v>31</v>
      </c>
      <c r="J105" t="n">
        <v>1042</v>
      </c>
      <c r="K105" t="n">
        <v>63</v>
      </c>
      <c r="L105" t="inlineStr">
        <is>
          <t>No</t>
        </is>
      </c>
      <c r="M105" t="inlineStr">
        <is>
          <t>Normal variation</t>
        </is>
      </c>
      <c r="N105" s="2">
        <f>I105/H105</f>
        <v/>
      </c>
      <c r="O105" s="2">
        <f>J105/H105</f>
        <v/>
      </c>
      <c r="P105">
        <f>H105-G105</f>
        <v/>
      </c>
      <c r="Q105">
        <f>IF(N105&gt;0.04,"High",IF(N105&gt;0.03,"Medium","Low"))</f>
        <v/>
      </c>
    </row>
    <row r="106">
      <c r="A106" t="inlineStr">
        <is>
          <t>NM-07-31</t>
        </is>
      </c>
      <c r="B106" t="inlineStr">
        <is>
          <t>2026-08-17</t>
        </is>
      </c>
      <c r="C106" t="inlineStr">
        <is>
          <t>Lakeside Components</t>
        </is>
      </c>
      <c r="D106" t="inlineStr">
        <is>
          <t>Sensor Module</t>
        </is>
      </c>
      <c r="E106" t="inlineStr">
        <is>
          <t>Day</t>
        </is>
      </c>
      <c r="F106" t="inlineStr">
        <is>
          <t>Summit Plastics</t>
        </is>
      </c>
      <c r="G106" t="n">
        <v>1159</v>
      </c>
      <c r="H106" t="n">
        <v>1128</v>
      </c>
      <c r="I106" t="n">
        <v>40</v>
      </c>
      <c r="J106" t="n">
        <v>1045</v>
      </c>
      <c r="K106" t="n">
        <v>30.6</v>
      </c>
      <c r="L106" t="inlineStr">
        <is>
          <t>No</t>
        </is>
      </c>
      <c r="M106" t="inlineStr">
        <is>
          <t>Normal variation</t>
        </is>
      </c>
      <c r="N106" s="2">
        <f>I106/H106</f>
        <v/>
      </c>
      <c r="O106" s="2">
        <f>J106/H106</f>
        <v/>
      </c>
      <c r="P106">
        <f>H106-G106</f>
        <v/>
      </c>
      <c r="Q106">
        <f>IF(N106&gt;0.04,"High",IF(N106&gt;0.03,"Medium","Low"))</f>
        <v/>
      </c>
    </row>
    <row r="107">
      <c r="A107" t="inlineStr">
        <is>
          <t>NM-07-32</t>
        </is>
      </c>
      <c r="B107" t="inlineStr">
        <is>
          <t>2026-08-17</t>
        </is>
      </c>
      <c r="C107" t="inlineStr">
        <is>
          <t>Lakeside Components</t>
        </is>
      </c>
      <c r="D107" t="inlineStr">
        <is>
          <t>Battery Controller</t>
        </is>
      </c>
      <c r="E107" t="inlineStr">
        <is>
          <t>Day</t>
        </is>
      </c>
      <c r="F107" t="inlineStr">
        <is>
          <t>Summit Plastics</t>
        </is>
      </c>
      <c r="G107" t="n">
        <v>1171</v>
      </c>
      <c r="H107" t="n">
        <v>1182</v>
      </c>
      <c r="I107" t="n">
        <v>35</v>
      </c>
      <c r="J107" t="n">
        <v>1043</v>
      </c>
      <c r="K107" t="n">
        <v>48.3</v>
      </c>
      <c r="L107" t="inlineStr">
        <is>
          <t>No</t>
        </is>
      </c>
      <c r="M107" t="inlineStr">
        <is>
          <t>Normal variation</t>
        </is>
      </c>
      <c r="N107" s="2">
        <f>I107/H107</f>
        <v/>
      </c>
      <c r="O107" s="2">
        <f>J107/H107</f>
        <v/>
      </c>
      <c r="P107">
        <f>H107-G107</f>
        <v/>
      </c>
      <c r="Q107">
        <f>IF(N107&gt;0.04,"High",IF(N107&gt;0.03,"Medium","Low"))</f>
        <v/>
      </c>
    </row>
    <row r="108">
      <c r="A108" t="inlineStr">
        <is>
          <t>NM-07-33</t>
        </is>
      </c>
      <c r="B108" t="inlineStr">
        <is>
          <t>2026-08-17</t>
        </is>
      </c>
      <c r="C108" t="inlineStr">
        <is>
          <t>Lakeside Components</t>
        </is>
      </c>
      <c r="D108" t="inlineStr">
        <is>
          <t>Infotainment Harness</t>
        </is>
      </c>
      <c r="E108" t="inlineStr">
        <is>
          <t>Night</t>
        </is>
      </c>
      <c r="F108" t="inlineStr">
        <is>
          <t>Vector Embedded</t>
        </is>
      </c>
      <c r="G108" t="n">
        <v>1007</v>
      </c>
      <c r="H108" t="n">
        <v>907</v>
      </c>
      <c r="I108" t="n">
        <v>16</v>
      </c>
      <c r="J108" t="n">
        <v>884</v>
      </c>
      <c r="K108" t="n">
        <v>33.4</v>
      </c>
      <c r="L108" t="inlineStr">
        <is>
          <t>No</t>
        </is>
      </c>
      <c r="M108" t="inlineStr">
        <is>
          <t>Normal variation</t>
        </is>
      </c>
      <c r="N108" s="2">
        <f>I108/H108</f>
        <v/>
      </c>
      <c r="O108" s="2">
        <f>J108/H108</f>
        <v/>
      </c>
      <c r="P108">
        <f>H108-G108</f>
        <v/>
      </c>
      <c r="Q108">
        <f>IF(N108&gt;0.04,"High",IF(N108&gt;0.03,"Medium","Low"))</f>
        <v/>
      </c>
    </row>
    <row r="109">
      <c r="A109" t="inlineStr">
        <is>
          <t>NM-07-34</t>
        </is>
      </c>
      <c r="B109" t="inlineStr">
        <is>
          <t>2026-08-17</t>
        </is>
      </c>
      <c r="C109" t="inlineStr">
        <is>
          <t>Lakeside Components</t>
        </is>
      </c>
      <c r="D109" t="inlineStr">
        <is>
          <t>Drive Unit Housing</t>
        </is>
      </c>
      <c r="E109" t="inlineStr">
        <is>
          <t>Day</t>
        </is>
      </c>
      <c r="F109" t="inlineStr">
        <is>
          <t>Cedar Forge</t>
        </is>
      </c>
      <c r="G109" t="n">
        <v>893</v>
      </c>
      <c r="H109" t="n">
        <v>923</v>
      </c>
      <c r="I109" t="n">
        <v>33</v>
      </c>
      <c r="J109" t="n">
        <v>899</v>
      </c>
      <c r="K109" t="n">
        <v>63.3</v>
      </c>
      <c r="L109" t="inlineStr">
        <is>
          <t>No</t>
        </is>
      </c>
      <c r="M109" t="inlineStr">
        <is>
          <t>Normal variation</t>
        </is>
      </c>
      <c r="N109" s="2">
        <f>I109/H109</f>
        <v/>
      </c>
      <c r="O109" s="2">
        <f>J109/H109</f>
        <v/>
      </c>
      <c r="P109">
        <f>H109-G109</f>
        <v/>
      </c>
      <c r="Q109">
        <f>IF(N109&gt;0.04,"High",IF(N109&gt;0.03,"Medium","Low"))</f>
        <v/>
      </c>
    </row>
    <row r="110">
      <c r="A110" t="inlineStr">
        <is>
          <t>NM-07-41</t>
        </is>
      </c>
      <c r="B110" t="inlineStr">
        <is>
          <t>2026-08-17</t>
        </is>
      </c>
      <c r="C110" t="inlineStr">
        <is>
          <t>Metro EV Systems</t>
        </is>
      </c>
      <c r="D110" t="inlineStr">
        <is>
          <t>Sensor Module</t>
        </is>
      </c>
      <c r="E110" t="inlineStr">
        <is>
          <t>Night</t>
        </is>
      </c>
      <c r="F110" t="inlineStr">
        <is>
          <t>Vector Embedded</t>
        </is>
      </c>
      <c r="G110" t="n">
        <v>867</v>
      </c>
      <c r="H110" t="n">
        <v>776</v>
      </c>
      <c r="I110" t="n">
        <v>18</v>
      </c>
      <c r="J110" t="n">
        <v>762</v>
      </c>
      <c r="K110" t="n">
        <v>45.2</v>
      </c>
      <c r="L110" t="inlineStr">
        <is>
          <t>No</t>
        </is>
      </c>
      <c r="M110" t="inlineStr">
        <is>
          <t>Normal variation</t>
        </is>
      </c>
      <c r="N110" s="2">
        <f>I110/H110</f>
        <v/>
      </c>
      <c r="O110" s="2">
        <f>J110/H110</f>
        <v/>
      </c>
      <c r="P110">
        <f>H110-G110</f>
        <v/>
      </c>
      <c r="Q110">
        <f>IF(N110&gt;0.04,"High",IF(N110&gt;0.03,"Medium","Low"))</f>
        <v/>
      </c>
    </row>
    <row r="111">
      <c r="A111" t="inlineStr">
        <is>
          <t>NM-07-42</t>
        </is>
      </c>
      <c r="B111" t="inlineStr">
        <is>
          <t>2026-08-17</t>
        </is>
      </c>
      <c r="C111" t="inlineStr">
        <is>
          <t>Metro EV Systems</t>
        </is>
      </c>
      <c r="D111" t="inlineStr">
        <is>
          <t>Battery Controller</t>
        </is>
      </c>
      <c r="E111" t="inlineStr">
        <is>
          <t>Night</t>
        </is>
      </c>
      <c r="F111" t="inlineStr">
        <is>
          <t>Blue Harbor Components</t>
        </is>
      </c>
      <c r="G111" t="n">
        <v>839</v>
      </c>
      <c r="H111" t="n">
        <v>780</v>
      </c>
      <c r="I111" t="n">
        <v>29</v>
      </c>
      <c r="J111" t="n">
        <v>699</v>
      </c>
      <c r="K111" t="n">
        <v>56.9</v>
      </c>
      <c r="L111" t="inlineStr">
        <is>
          <t>No</t>
        </is>
      </c>
      <c r="M111" t="inlineStr">
        <is>
          <t>Normal variation</t>
        </is>
      </c>
      <c r="N111" s="2">
        <f>I111/H111</f>
        <v/>
      </c>
      <c r="O111" s="2">
        <f>J111/H111</f>
        <v/>
      </c>
      <c r="P111">
        <f>H111-G111</f>
        <v/>
      </c>
      <c r="Q111">
        <f>IF(N111&gt;0.04,"High",IF(N111&gt;0.03,"Medium","Low"))</f>
        <v/>
      </c>
    </row>
    <row r="112">
      <c r="A112" t="inlineStr">
        <is>
          <t>NM-07-43</t>
        </is>
      </c>
      <c r="B112" t="inlineStr">
        <is>
          <t>2026-08-17</t>
        </is>
      </c>
      <c r="C112" t="inlineStr">
        <is>
          <t>Metro EV Systems</t>
        </is>
      </c>
      <c r="D112" t="inlineStr">
        <is>
          <t>Infotainment Harness</t>
        </is>
      </c>
      <c r="E112" t="inlineStr">
        <is>
          <t>Day</t>
        </is>
      </c>
      <c r="F112" t="inlineStr">
        <is>
          <t>Vector Embedded</t>
        </is>
      </c>
      <c r="G112" t="n">
        <v>913</v>
      </c>
      <c r="H112" t="n">
        <v>821</v>
      </c>
      <c r="I112" t="n">
        <v>33</v>
      </c>
      <c r="J112" t="n">
        <v>750</v>
      </c>
      <c r="K112" t="n">
        <v>47.4</v>
      </c>
      <c r="L112" t="inlineStr">
        <is>
          <t>No</t>
        </is>
      </c>
      <c r="M112" t="inlineStr">
        <is>
          <t>Review supplier batch</t>
        </is>
      </c>
      <c r="N112" s="2">
        <f>I112/H112</f>
        <v/>
      </c>
      <c r="O112" s="2">
        <f>J112/H112</f>
        <v/>
      </c>
      <c r="P112">
        <f>H112-G112</f>
        <v/>
      </c>
      <c r="Q112">
        <f>IF(N112&gt;0.04,"High",IF(N112&gt;0.03,"Medium","Low"))</f>
        <v/>
      </c>
    </row>
    <row r="113">
      <c r="A113" t="inlineStr">
        <is>
          <t>NM-07-44</t>
        </is>
      </c>
      <c r="B113" t="inlineStr">
        <is>
          <t>2026-08-17</t>
        </is>
      </c>
      <c r="C113" t="inlineStr">
        <is>
          <t>Metro EV Systems</t>
        </is>
      </c>
      <c r="D113" t="inlineStr">
        <is>
          <t>Drive Unit Housing</t>
        </is>
      </c>
      <c r="E113" t="inlineStr">
        <is>
          <t>Night</t>
        </is>
      </c>
      <c r="F113" t="inlineStr">
        <is>
          <t>Vector Embedded</t>
        </is>
      </c>
      <c r="G113" t="n">
        <v>1099</v>
      </c>
      <c r="H113" t="n">
        <v>991</v>
      </c>
      <c r="I113" t="n">
        <v>21</v>
      </c>
      <c r="J113" t="n">
        <v>920</v>
      </c>
      <c r="K113" t="n">
        <v>38.8</v>
      </c>
      <c r="L113" t="inlineStr">
        <is>
          <t>No</t>
        </is>
      </c>
      <c r="M113" t="inlineStr">
        <is>
          <t>Normal variation</t>
        </is>
      </c>
      <c r="N113" s="2">
        <f>I113/H113</f>
        <v/>
      </c>
      <c r="O113" s="2">
        <f>J113/H113</f>
        <v/>
      </c>
      <c r="P113">
        <f>H113-G113</f>
        <v/>
      </c>
      <c r="Q113">
        <f>IF(N113&gt;0.04,"High",IF(N113&gt;0.03,"Medium","Low"))</f>
        <v/>
      </c>
    </row>
    <row r="114">
      <c r="A114" t="inlineStr">
        <is>
          <t>NM-08-11</t>
        </is>
      </c>
      <c r="B114" t="inlineStr">
        <is>
          <t>2026-08-24</t>
        </is>
      </c>
      <c r="C114" t="inlineStr">
        <is>
          <t>North Assembly</t>
        </is>
      </c>
      <c r="D114" t="inlineStr">
        <is>
          <t>Sensor Module</t>
        </is>
      </c>
      <c r="E114" t="inlineStr">
        <is>
          <t>Day</t>
        </is>
      </c>
      <c r="F114" t="inlineStr">
        <is>
          <t>Pioneer Circuit Works</t>
        </is>
      </c>
      <c r="G114" t="n">
        <v>1068</v>
      </c>
      <c r="H114" t="n">
        <v>955</v>
      </c>
      <c r="I114" t="n">
        <v>25</v>
      </c>
      <c r="J114" t="n">
        <v>897</v>
      </c>
      <c r="K114" t="n">
        <v>37</v>
      </c>
      <c r="L114" t="inlineStr">
        <is>
          <t>No</t>
        </is>
      </c>
      <c r="M114" t="inlineStr">
        <is>
          <t>Normal variation</t>
        </is>
      </c>
      <c r="N114" s="2">
        <f>I114/H114</f>
        <v/>
      </c>
      <c r="O114" s="2">
        <f>J114/H114</f>
        <v/>
      </c>
      <c r="P114">
        <f>H114-G114</f>
        <v/>
      </c>
      <c r="Q114">
        <f>IF(N114&gt;0.04,"High",IF(N114&gt;0.03,"Medium","Low"))</f>
        <v/>
      </c>
    </row>
    <row r="115">
      <c r="A115" t="inlineStr">
        <is>
          <t>NM-08-12</t>
        </is>
      </c>
      <c r="B115" t="inlineStr">
        <is>
          <t>2026-08-24</t>
        </is>
      </c>
      <c r="C115" t="inlineStr">
        <is>
          <t>North Assembly</t>
        </is>
      </c>
      <c r="D115" t="inlineStr">
        <is>
          <t>Battery Controller</t>
        </is>
      </c>
      <c r="E115" t="inlineStr">
        <is>
          <t>Swing</t>
        </is>
      </c>
      <c r="F115" t="inlineStr">
        <is>
          <t>Pioneer Circuit Works</t>
        </is>
      </c>
      <c r="G115" t="n">
        <v>932</v>
      </c>
      <c r="H115" t="n">
        <v>929</v>
      </c>
      <c r="I115" t="n">
        <v>27</v>
      </c>
      <c r="J115" t="n">
        <v>844</v>
      </c>
      <c r="K115" t="n">
        <v>55.5</v>
      </c>
      <c r="L115" t="inlineStr">
        <is>
          <t>No</t>
        </is>
      </c>
      <c r="M115" t="inlineStr">
        <is>
          <t>Normal variation</t>
        </is>
      </c>
      <c r="N115" s="2">
        <f>I115/H115</f>
        <v/>
      </c>
      <c r="O115" s="2">
        <f>J115/H115</f>
        <v/>
      </c>
      <c r="P115">
        <f>H115-G115</f>
        <v/>
      </c>
      <c r="Q115">
        <f>IF(N115&gt;0.04,"High",IF(N115&gt;0.03,"Medium","Low"))</f>
        <v/>
      </c>
    </row>
    <row r="116">
      <c r="A116" t="inlineStr">
        <is>
          <t>NM-08-13</t>
        </is>
      </c>
      <c r="B116" t="inlineStr">
        <is>
          <t>2026-08-24</t>
        </is>
      </c>
      <c r="C116" t="inlineStr">
        <is>
          <t>North Assembly</t>
        </is>
      </c>
      <c r="D116" t="inlineStr">
        <is>
          <t>Infotainment Harness</t>
        </is>
      </c>
      <c r="E116" t="inlineStr">
        <is>
          <t>Day</t>
        </is>
      </c>
      <c r="F116" t="inlineStr">
        <is>
          <t>Pioneer Circuit Works</t>
        </is>
      </c>
      <c r="G116" t="n">
        <v>1214</v>
      </c>
      <c r="H116" t="n">
        <v>1132</v>
      </c>
      <c r="I116" t="n">
        <v>34</v>
      </c>
      <c r="J116" t="n">
        <v>1031</v>
      </c>
      <c r="K116" t="n">
        <v>41.1</v>
      </c>
      <c r="L116" t="inlineStr">
        <is>
          <t>No</t>
        </is>
      </c>
      <c r="M116" t="inlineStr">
        <is>
          <t>Normal variation</t>
        </is>
      </c>
      <c r="N116" s="2">
        <f>I116/H116</f>
        <v/>
      </c>
      <c r="O116" s="2">
        <f>J116/H116</f>
        <v/>
      </c>
      <c r="P116">
        <f>H116-G116</f>
        <v/>
      </c>
      <c r="Q116">
        <f>IF(N116&gt;0.04,"High",IF(N116&gt;0.03,"Medium","Low"))</f>
        <v/>
      </c>
    </row>
    <row r="117">
      <c r="A117" t="inlineStr">
        <is>
          <t>NM-08-14</t>
        </is>
      </c>
      <c r="B117" t="inlineStr">
        <is>
          <t>2026-08-24</t>
        </is>
      </c>
      <c r="C117" t="inlineStr">
        <is>
          <t>North Assembly</t>
        </is>
      </c>
      <c r="D117" t="inlineStr">
        <is>
          <t>Drive Unit Housing</t>
        </is>
      </c>
      <c r="E117" t="inlineStr">
        <is>
          <t>Night</t>
        </is>
      </c>
      <c r="F117" t="inlineStr">
        <is>
          <t>Blue Harbor Components</t>
        </is>
      </c>
      <c r="G117" t="n">
        <v>997</v>
      </c>
      <c r="H117" t="n">
        <v>1029</v>
      </c>
      <c r="I117" t="n">
        <v>36</v>
      </c>
      <c r="J117" t="n">
        <v>923</v>
      </c>
      <c r="K117" t="n">
        <v>34.6</v>
      </c>
      <c r="L117" t="inlineStr">
        <is>
          <t>Yes</t>
        </is>
      </c>
      <c r="M117" t="inlineStr">
        <is>
          <t>Normal variation</t>
        </is>
      </c>
      <c r="N117" s="2">
        <f>I117/H117</f>
        <v/>
      </c>
      <c r="O117" s="2">
        <f>J117/H117</f>
        <v/>
      </c>
      <c r="P117">
        <f>H117-G117</f>
        <v/>
      </c>
      <c r="Q117">
        <f>IF(N117&gt;0.04,"High",IF(N117&gt;0.03,"Medium","Low"))</f>
        <v/>
      </c>
    </row>
    <row r="118">
      <c r="A118" t="inlineStr">
        <is>
          <t>NM-08-21</t>
        </is>
      </c>
      <c r="B118" t="inlineStr">
        <is>
          <t>2026-08-24</t>
        </is>
      </c>
      <c r="C118" t="inlineStr">
        <is>
          <t>River Rouge Pilot</t>
        </is>
      </c>
      <c r="D118" t="inlineStr">
        <is>
          <t>Sensor Module</t>
        </is>
      </c>
      <c r="E118" t="inlineStr">
        <is>
          <t>Night</t>
        </is>
      </c>
      <c r="F118" t="inlineStr">
        <is>
          <t>Cedar Forge</t>
        </is>
      </c>
      <c r="G118" t="n">
        <v>1162</v>
      </c>
      <c r="H118" t="n">
        <v>1094</v>
      </c>
      <c r="I118" t="n">
        <v>24</v>
      </c>
      <c r="J118" t="n">
        <v>983</v>
      </c>
      <c r="K118" t="n">
        <v>41</v>
      </c>
      <c r="L118" t="inlineStr">
        <is>
          <t>Yes</t>
        </is>
      </c>
      <c r="M118" t="inlineStr">
        <is>
          <t>Normal variation</t>
        </is>
      </c>
      <c r="N118" s="2">
        <f>I118/H118</f>
        <v/>
      </c>
      <c r="O118" s="2">
        <f>J118/H118</f>
        <v/>
      </c>
      <c r="P118">
        <f>H118-G118</f>
        <v/>
      </c>
      <c r="Q118">
        <f>IF(N118&gt;0.04,"High",IF(N118&gt;0.03,"Medium","Low"))</f>
        <v/>
      </c>
    </row>
    <row r="119">
      <c r="A119" t="inlineStr">
        <is>
          <t>NM-08-22</t>
        </is>
      </c>
      <c r="B119" t="inlineStr">
        <is>
          <t>2026-08-24</t>
        </is>
      </c>
      <c r="C119" t="inlineStr">
        <is>
          <t>River Rouge Pilot</t>
        </is>
      </c>
      <c r="D119" t="inlineStr">
        <is>
          <t>Battery Controller</t>
        </is>
      </c>
      <c r="E119" t="inlineStr">
        <is>
          <t>Swing</t>
        </is>
      </c>
      <c r="F119" t="inlineStr">
        <is>
          <t>Vector Embedded</t>
        </is>
      </c>
      <c r="G119" t="n">
        <v>1149</v>
      </c>
      <c r="H119" t="n">
        <v>1068</v>
      </c>
      <c r="I119" t="n">
        <v>29</v>
      </c>
      <c r="J119" t="n">
        <v>992</v>
      </c>
      <c r="K119" t="n">
        <v>36.5</v>
      </c>
      <c r="L119" t="inlineStr">
        <is>
          <t>No</t>
        </is>
      </c>
      <c r="M119" t="inlineStr">
        <is>
          <t>Normal variation</t>
        </is>
      </c>
      <c r="N119" s="2">
        <f>I119/H119</f>
        <v/>
      </c>
      <c r="O119" s="2">
        <f>J119/H119</f>
        <v/>
      </c>
      <c r="P119">
        <f>H119-G119</f>
        <v/>
      </c>
      <c r="Q119">
        <f>IF(N119&gt;0.04,"High",IF(N119&gt;0.03,"Medium","Low"))</f>
        <v/>
      </c>
    </row>
    <row r="120">
      <c r="A120" t="inlineStr">
        <is>
          <t>NM-08-23</t>
        </is>
      </c>
      <c r="B120" t="inlineStr">
        <is>
          <t>2026-08-24</t>
        </is>
      </c>
      <c r="C120" t="inlineStr">
        <is>
          <t>River Rouge Pilot</t>
        </is>
      </c>
      <c r="D120" t="inlineStr">
        <is>
          <t>Infotainment Harness</t>
        </is>
      </c>
      <c r="E120" t="inlineStr">
        <is>
          <t>Day</t>
        </is>
      </c>
      <c r="F120" t="inlineStr">
        <is>
          <t>Summit Plastics</t>
        </is>
      </c>
      <c r="G120" t="n">
        <v>1086</v>
      </c>
      <c r="H120" t="n">
        <v>1020</v>
      </c>
      <c r="I120" t="n">
        <v>32</v>
      </c>
      <c r="J120" t="n">
        <v>989</v>
      </c>
      <c r="K120" t="n">
        <v>62.9</v>
      </c>
      <c r="L120" t="inlineStr">
        <is>
          <t>No</t>
        </is>
      </c>
      <c r="M120" t="inlineStr">
        <is>
          <t>Normal variation</t>
        </is>
      </c>
      <c r="N120" s="2">
        <f>I120/H120</f>
        <v/>
      </c>
      <c r="O120" s="2">
        <f>J120/H120</f>
        <v/>
      </c>
      <c r="P120">
        <f>H120-G120</f>
        <v/>
      </c>
      <c r="Q120">
        <f>IF(N120&gt;0.04,"High",IF(N120&gt;0.03,"Medium","Low"))</f>
        <v/>
      </c>
    </row>
    <row r="121">
      <c r="A121" t="inlineStr">
        <is>
          <t>NM-08-24</t>
        </is>
      </c>
      <c r="B121" t="inlineStr">
        <is>
          <t>2026-08-24</t>
        </is>
      </c>
      <c r="C121" t="inlineStr">
        <is>
          <t>River Rouge Pilot</t>
        </is>
      </c>
      <c r="D121" t="inlineStr">
        <is>
          <t>Drive Unit Housing</t>
        </is>
      </c>
      <c r="E121" t="inlineStr">
        <is>
          <t>Night</t>
        </is>
      </c>
      <c r="F121" t="inlineStr">
        <is>
          <t>Summit Plastics</t>
        </is>
      </c>
      <c r="G121" t="n">
        <v>827</v>
      </c>
      <c r="H121" t="n">
        <v>772</v>
      </c>
      <c r="I121" t="n">
        <v>24</v>
      </c>
      <c r="J121" t="n">
        <v>746</v>
      </c>
      <c r="K121" t="n">
        <v>54.7</v>
      </c>
      <c r="L121" t="inlineStr">
        <is>
          <t>No</t>
        </is>
      </c>
      <c r="M121" t="inlineStr">
        <is>
          <t>Normal variation</t>
        </is>
      </c>
      <c r="N121" s="2">
        <f>I121/H121</f>
        <v/>
      </c>
      <c r="O121" s="2">
        <f>J121/H121</f>
        <v/>
      </c>
      <c r="P121">
        <f>H121-G121</f>
        <v/>
      </c>
      <c r="Q121">
        <f>IF(N121&gt;0.04,"High",IF(N121&gt;0.03,"Medium","Low"))</f>
        <v/>
      </c>
    </row>
    <row r="122">
      <c r="A122" t="inlineStr">
        <is>
          <t>NM-08-31</t>
        </is>
      </c>
      <c r="B122" t="inlineStr">
        <is>
          <t>2026-08-24</t>
        </is>
      </c>
      <c r="C122" t="inlineStr">
        <is>
          <t>Lakeside Components</t>
        </is>
      </c>
      <c r="D122" t="inlineStr">
        <is>
          <t>Sensor Module</t>
        </is>
      </c>
      <c r="E122" t="inlineStr">
        <is>
          <t>Swing</t>
        </is>
      </c>
      <c r="F122" t="inlineStr">
        <is>
          <t>Summit Plastics</t>
        </is>
      </c>
      <c r="G122" t="n">
        <v>879</v>
      </c>
      <c r="H122" t="n">
        <v>761</v>
      </c>
      <c r="I122" t="n">
        <v>18</v>
      </c>
      <c r="J122" t="n">
        <v>738</v>
      </c>
      <c r="K122" t="n">
        <v>53</v>
      </c>
      <c r="L122" t="inlineStr">
        <is>
          <t>No</t>
        </is>
      </c>
      <c r="M122" t="inlineStr">
        <is>
          <t>Normal variation</t>
        </is>
      </c>
      <c r="N122" s="2">
        <f>I122/H122</f>
        <v/>
      </c>
      <c r="O122" s="2">
        <f>J122/H122</f>
        <v/>
      </c>
      <c r="P122">
        <f>H122-G122</f>
        <v/>
      </c>
      <c r="Q122">
        <f>IF(N122&gt;0.04,"High",IF(N122&gt;0.03,"Medium","Low"))</f>
        <v/>
      </c>
    </row>
    <row r="123">
      <c r="A123" t="inlineStr">
        <is>
          <t>NM-08-32</t>
        </is>
      </c>
      <c r="B123" t="inlineStr">
        <is>
          <t>2026-08-24</t>
        </is>
      </c>
      <c r="C123" t="inlineStr">
        <is>
          <t>Lakeside Components</t>
        </is>
      </c>
      <c r="D123" t="inlineStr">
        <is>
          <t>Battery Controller</t>
        </is>
      </c>
      <c r="E123" t="inlineStr">
        <is>
          <t>Swing</t>
        </is>
      </c>
      <c r="F123" t="inlineStr">
        <is>
          <t>Blue Harbor Components</t>
        </is>
      </c>
      <c r="G123" t="n">
        <v>1243</v>
      </c>
      <c r="H123" t="n">
        <v>1025</v>
      </c>
      <c r="I123" t="n">
        <v>40</v>
      </c>
      <c r="J123" t="n">
        <v>906</v>
      </c>
      <c r="K123" t="n">
        <v>37.9</v>
      </c>
      <c r="L123" t="inlineStr">
        <is>
          <t>No</t>
        </is>
      </c>
      <c r="M123" t="inlineStr">
        <is>
          <t>Normal variation</t>
        </is>
      </c>
      <c r="N123" s="2">
        <f>I123/H123</f>
        <v/>
      </c>
      <c r="O123" s="2">
        <f>J123/H123</f>
        <v/>
      </c>
      <c r="P123">
        <f>H123-G123</f>
        <v/>
      </c>
      <c r="Q123">
        <f>IF(N123&gt;0.04,"High",IF(N123&gt;0.03,"Medium","Low"))</f>
        <v/>
      </c>
    </row>
    <row r="124">
      <c r="A124" t="inlineStr">
        <is>
          <t>NM-08-33</t>
        </is>
      </c>
      <c r="B124" t="inlineStr">
        <is>
          <t>2026-08-24</t>
        </is>
      </c>
      <c r="C124" t="inlineStr">
        <is>
          <t>Lakeside Components</t>
        </is>
      </c>
      <c r="D124" t="inlineStr">
        <is>
          <t>Infotainment Harness</t>
        </is>
      </c>
      <c r="E124" t="inlineStr">
        <is>
          <t>Night</t>
        </is>
      </c>
      <c r="F124" t="inlineStr">
        <is>
          <t>Vector Embedded</t>
        </is>
      </c>
      <c r="G124" t="n">
        <v>1243</v>
      </c>
      <c r="H124" t="n">
        <v>1059</v>
      </c>
      <c r="I124" t="n">
        <v>23</v>
      </c>
      <c r="J124" t="n">
        <v>1005</v>
      </c>
      <c r="K124" t="n">
        <v>53.4</v>
      </c>
      <c r="L124" t="inlineStr">
        <is>
          <t>No</t>
        </is>
      </c>
      <c r="M124" t="inlineStr">
        <is>
          <t>Normal variation</t>
        </is>
      </c>
      <c r="N124" s="2">
        <f>I124/H124</f>
        <v/>
      </c>
      <c r="O124" s="2">
        <f>J124/H124</f>
        <v/>
      </c>
      <c r="P124">
        <f>H124-G124</f>
        <v/>
      </c>
      <c r="Q124">
        <f>IF(N124&gt;0.04,"High",IF(N124&gt;0.03,"Medium","Low"))</f>
        <v/>
      </c>
    </row>
    <row r="125">
      <c r="A125" t="inlineStr">
        <is>
          <t>NM-08-34</t>
        </is>
      </c>
      <c r="B125" t="inlineStr">
        <is>
          <t>2026-08-24</t>
        </is>
      </c>
      <c r="C125" t="inlineStr">
        <is>
          <t>Lakeside Components</t>
        </is>
      </c>
      <c r="D125" t="inlineStr">
        <is>
          <t>Drive Unit Housing</t>
        </is>
      </c>
      <c r="E125" t="inlineStr">
        <is>
          <t>Day</t>
        </is>
      </c>
      <c r="F125" t="inlineStr">
        <is>
          <t>Summit Plastics</t>
        </is>
      </c>
      <c r="G125" t="n">
        <v>1089</v>
      </c>
      <c r="H125" t="n">
        <v>1013</v>
      </c>
      <c r="I125" t="n">
        <v>21</v>
      </c>
      <c r="J125" t="n">
        <v>941</v>
      </c>
      <c r="K125" t="n">
        <v>28.7</v>
      </c>
      <c r="L125" t="inlineStr">
        <is>
          <t>No</t>
        </is>
      </c>
      <c r="M125" t="inlineStr">
        <is>
          <t>Normal variation</t>
        </is>
      </c>
      <c r="N125" s="2">
        <f>I125/H125</f>
        <v/>
      </c>
      <c r="O125" s="2">
        <f>J125/H125</f>
        <v/>
      </c>
      <c r="P125">
        <f>H125-G125</f>
        <v/>
      </c>
      <c r="Q125">
        <f>IF(N125&gt;0.04,"High",IF(N125&gt;0.03,"Medium","Low"))</f>
        <v/>
      </c>
    </row>
    <row r="126">
      <c r="A126" t="inlineStr">
        <is>
          <t>NM-08-41</t>
        </is>
      </c>
      <c r="B126" t="inlineStr">
        <is>
          <t>2026-08-24</t>
        </is>
      </c>
      <c r="C126" t="inlineStr">
        <is>
          <t>Metro EV Systems</t>
        </is>
      </c>
      <c r="D126" t="inlineStr">
        <is>
          <t>Sensor Module</t>
        </is>
      </c>
      <c r="E126" t="inlineStr">
        <is>
          <t>Day</t>
        </is>
      </c>
      <c r="F126" t="inlineStr">
        <is>
          <t>Pioneer Circuit Works</t>
        </is>
      </c>
      <c r="G126" t="n">
        <v>1145</v>
      </c>
      <c r="H126" t="n">
        <v>1169</v>
      </c>
      <c r="I126" t="n">
        <v>20</v>
      </c>
      <c r="J126" t="n">
        <v>1052</v>
      </c>
      <c r="K126" t="n">
        <v>63.9</v>
      </c>
      <c r="L126" t="inlineStr">
        <is>
          <t>No</t>
        </is>
      </c>
      <c r="M126" t="inlineStr">
        <is>
          <t>Normal variation</t>
        </is>
      </c>
      <c r="N126" s="2">
        <f>I126/H126</f>
        <v/>
      </c>
      <c r="O126" s="2">
        <f>J126/H126</f>
        <v/>
      </c>
      <c r="P126">
        <f>H126-G126</f>
        <v/>
      </c>
      <c r="Q126">
        <f>IF(N126&gt;0.04,"High",IF(N126&gt;0.03,"Medium","Low"))</f>
        <v/>
      </c>
    </row>
    <row r="127">
      <c r="A127" t="inlineStr">
        <is>
          <t>NM-08-42</t>
        </is>
      </c>
      <c r="B127" t="inlineStr">
        <is>
          <t>2026-08-24</t>
        </is>
      </c>
      <c r="C127" t="inlineStr">
        <is>
          <t>Metro EV Systems</t>
        </is>
      </c>
      <c r="D127" t="inlineStr">
        <is>
          <t>Battery Controller</t>
        </is>
      </c>
      <c r="E127" t="inlineStr">
        <is>
          <t>Swing</t>
        </is>
      </c>
      <c r="F127" t="inlineStr">
        <is>
          <t>Summit Plastics</t>
        </is>
      </c>
      <c r="G127" t="n">
        <v>895</v>
      </c>
      <c r="H127" t="n">
        <v>926</v>
      </c>
      <c r="I127" t="n">
        <v>28</v>
      </c>
      <c r="J127" t="n">
        <v>876</v>
      </c>
      <c r="K127" t="n">
        <v>51.3</v>
      </c>
      <c r="L127" t="inlineStr">
        <is>
          <t>No</t>
        </is>
      </c>
      <c r="M127" t="inlineStr">
        <is>
          <t>Normal variation</t>
        </is>
      </c>
      <c r="N127" s="2">
        <f>I127/H127</f>
        <v/>
      </c>
      <c r="O127" s="2">
        <f>J127/H127</f>
        <v/>
      </c>
      <c r="P127">
        <f>H127-G127</f>
        <v/>
      </c>
      <c r="Q127">
        <f>IF(N127&gt;0.04,"High",IF(N127&gt;0.03,"Medium","Low"))</f>
        <v/>
      </c>
    </row>
    <row r="128">
      <c r="A128" t="inlineStr">
        <is>
          <t>NM-08-43</t>
        </is>
      </c>
      <c r="B128" t="inlineStr">
        <is>
          <t>2026-08-24</t>
        </is>
      </c>
      <c r="C128" t="inlineStr">
        <is>
          <t>Metro EV Systems</t>
        </is>
      </c>
      <c r="D128" t="inlineStr">
        <is>
          <t>Infotainment Harness</t>
        </is>
      </c>
      <c r="E128" t="inlineStr">
        <is>
          <t>Day</t>
        </is>
      </c>
      <c r="F128" t="inlineStr">
        <is>
          <t>Pioneer Circuit Works</t>
        </is>
      </c>
      <c r="G128" t="n">
        <v>991</v>
      </c>
      <c r="H128" t="n">
        <v>885</v>
      </c>
      <c r="I128" t="n">
        <v>13</v>
      </c>
      <c r="J128" t="n">
        <v>868</v>
      </c>
      <c r="K128" t="n">
        <v>63.6</v>
      </c>
      <c r="L128" t="inlineStr">
        <is>
          <t>No</t>
        </is>
      </c>
      <c r="M128" t="inlineStr">
        <is>
          <t>Normal variation</t>
        </is>
      </c>
      <c r="N128" s="2">
        <f>I128/H128</f>
        <v/>
      </c>
      <c r="O128" s="2">
        <f>J128/H128</f>
        <v/>
      </c>
      <c r="P128">
        <f>H128-G128</f>
        <v/>
      </c>
      <c r="Q128">
        <f>IF(N128&gt;0.04,"High",IF(N128&gt;0.03,"Medium","Low"))</f>
        <v/>
      </c>
    </row>
    <row r="129">
      <c r="A129" t="inlineStr">
        <is>
          <t>NM-08-44</t>
        </is>
      </c>
      <c r="B129" t="inlineStr">
        <is>
          <t>2026-08-24</t>
        </is>
      </c>
      <c r="C129" t="inlineStr">
        <is>
          <t>Metro EV Systems</t>
        </is>
      </c>
      <c r="D129" t="inlineStr">
        <is>
          <t>Drive Unit Housing</t>
        </is>
      </c>
      <c r="E129" t="inlineStr">
        <is>
          <t>Night</t>
        </is>
      </c>
      <c r="F129" t="inlineStr">
        <is>
          <t>Summit Plastics</t>
        </is>
      </c>
      <c r="G129" t="n">
        <v>1086</v>
      </c>
      <c r="H129" t="n">
        <v>1018</v>
      </c>
      <c r="I129" t="n">
        <v>23</v>
      </c>
      <c r="J129" t="n">
        <v>944</v>
      </c>
      <c r="K129" t="n">
        <v>48.4</v>
      </c>
      <c r="L129" t="inlineStr">
        <is>
          <t>No</t>
        </is>
      </c>
      <c r="M129" t="inlineStr">
        <is>
          <t>Normal variation</t>
        </is>
      </c>
      <c r="N129" s="2">
        <f>I129/H129</f>
        <v/>
      </c>
      <c r="O129" s="2">
        <f>J129/H129</f>
        <v/>
      </c>
      <c r="P129">
        <f>H129-G129</f>
        <v/>
      </c>
      <c r="Q129">
        <f>IF(N129&gt;0.04,"High",IF(N129&gt;0.03,"Medium","Low"))</f>
        <v/>
      </c>
    </row>
    <row r="130">
      <c r="A130" t="inlineStr">
        <is>
          <t>NM-09-11</t>
        </is>
      </c>
      <c r="B130" t="inlineStr">
        <is>
          <t>2026-08-31</t>
        </is>
      </c>
      <c r="C130" t="inlineStr">
        <is>
          <t>North Assembly</t>
        </is>
      </c>
      <c r="D130" t="inlineStr">
        <is>
          <t>Sensor Module</t>
        </is>
      </c>
      <c r="E130" t="inlineStr">
        <is>
          <t>Night</t>
        </is>
      </c>
      <c r="F130" t="inlineStr">
        <is>
          <t>Blue Harbor Components</t>
        </is>
      </c>
      <c r="G130" t="n">
        <v>903</v>
      </c>
      <c r="H130" t="n">
        <v>861</v>
      </c>
      <c r="I130" t="n">
        <v>13</v>
      </c>
      <c r="J130" t="n">
        <v>761</v>
      </c>
      <c r="K130" t="n">
        <v>32.8</v>
      </c>
      <c r="L130" t="inlineStr">
        <is>
          <t>No</t>
        </is>
      </c>
      <c r="M130" t="inlineStr">
        <is>
          <t>Normal variation</t>
        </is>
      </c>
      <c r="N130" s="2">
        <f>I130/H130</f>
        <v/>
      </c>
      <c r="O130" s="2">
        <f>J130/H130</f>
        <v/>
      </c>
      <c r="P130">
        <f>H130-G130</f>
        <v/>
      </c>
      <c r="Q130">
        <f>IF(N130&gt;0.04,"High",IF(N130&gt;0.03,"Medium","Low"))</f>
        <v/>
      </c>
    </row>
    <row r="131">
      <c r="A131" t="inlineStr">
        <is>
          <t>NM-09-12</t>
        </is>
      </c>
      <c r="B131" t="inlineStr">
        <is>
          <t>2026-08-31</t>
        </is>
      </c>
      <c r="C131" t="inlineStr">
        <is>
          <t>North Assembly</t>
        </is>
      </c>
      <c r="D131" t="inlineStr">
        <is>
          <t>Battery Controller</t>
        </is>
      </c>
      <c r="E131" t="inlineStr">
        <is>
          <t>Swing</t>
        </is>
      </c>
      <c r="F131" t="inlineStr">
        <is>
          <t>Summit Plastics</t>
        </is>
      </c>
      <c r="G131" t="n">
        <v>1164</v>
      </c>
      <c r="H131" t="n">
        <v>1090</v>
      </c>
      <c r="I131" t="n">
        <v>40</v>
      </c>
      <c r="J131" t="n">
        <v>1053</v>
      </c>
      <c r="K131" t="n">
        <v>37.8</v>
      </c>
      <c r="L131" t="inlineStr">
        <is>
          <t>No</t>
        </is>
      </c>
      <c r="M131" t="inlineStr">
        <is>
          <t>Normal variation</t>
        </is>
      </c>
      <c r="N131" s="2">
        <f>I131/H131</f>
        <v/>
      </c>
      <c r="O131" s="2">
        <f>J131/H131</f>
        <v/>
      </c>
      <c r="P131">
        <f>H131-G131</f>
        <v/>
      </c>
      <c r="Q131">
        <f>IF(N131&gt;0.04,"High",IF(N131&gt;0.03,"Medium","Low"))</f>
        <v/>
      </c>
    </row>
    <row r="132">
      <c r="A132" t="inlineStr">
        <is>
          <t>NM-09-13</t>
        </is>
      </c>
      <c r="B132" t="inlineStr">
        <is>
          <t>2026-08-31</t>
        </is>
      </c>
      <c r="C132" t="inlineStr">
        <is>
          <t>North Assembly</t>
        </is>
      </c>
      <c r="D132" t="inlineStr">
        <is>
          <t>Infotainment Harness</t>
        </is>
      </c>
      <c r="E132" t="inlineStr">
        <is>
          <t>Swing</t>
        </is>
      </c>
      <c r="F132" t="inlineStr">
        <is>
          <t>Cedar Forge</t>
        </is>
      </c>
      <c r="G132" t="n">
        <v>1112</v>
      </c>
      <c r="H132" t="n">
        <v>1105</v>
      </c>
      <c r="I132" t="n">
        <v>20</v>
      </c>
      <c r="J132" t="n">
        <v>1047</v>
      </c>
      <c r="K132" t="n">
        <v>63.9</v>
      </c>
      <c r="L132" t="inlineStr">
        <is>
          <t>No</t>
        </is>
      </c>
      <c r="M132" t="inlineStr">
        <is>
          <t>Normal variation</t>
        </is>
      </c>
      <c r="N132" s="2">
        <f>I132/H132</f>
        <v/>
      </c>
      <c r="O132" s="2">
        <f>J132/H132</f>
        <v/>
      </c>
      <c r="P132">
        <f>H132-G132</f>
        <v/>
      </c>
      <c r="Q132">
        <f>IF(N132&gt;0.04,"High",IF(N132&gt;0.03,"Medium","Low"))</f>
        <v/>
      </c>
    </row>
    <row r="133">
      <c r="A133" t="inlineStr">
        <is>
          <t>NM-09-14</t>
        </is>
      </c>
      <c r="B133" t="inlineStr">
        <is>
          <t>2026-08-31</t>
        </is>
      </c>
      <c r="C133" t="inlineStr">
        <is>
          <t>North Assembly</t>
        </is>
      </c>
      <c r="D133" t="inlineStr">
        <is>
          <t>Drive Unit Housing</t>
        </is>
      </c>
      <c r="E133" t="inlineStr">
        <is>
          <t>Night</t>
        </is>
      </c>
      <c r="F133" t="inlineStr">
        <is>
          <t>Vector Embedded</t>
        </is>
      </c>
      <c r="G133" t="n">
        <v>1110</v>
      </c>
      <c r="H133" t="n">
        <v>1147</v>
      </c>
      <c r="I133" t="n">
        <v>43</v>
      </c>
      <c r="J133" t="n">
        <v>1039</v>
      </c>
      <c r="K133" t="n">
        <v>63.8</v>
      </c>
      <c r="L133" t="inlineStr">
        <is>
          <t>No</t>
        </is>
      </c>
      <c r="M133" t="inlineStr">
        <is>
          <t>Normal variation</t>
        </is>
      </c>
      <c r="N133" s="2">
        <f>I133/H133</f>
        <v/>
      </c>
      <c r="O133" s="2">
        <f>J133/H133</f>
        <v/>
      </c>
      <c r="P133">
        <f>H133-G133</f>
        <v/>
      </c>
      <c r="Q133">
        <f>IF(N133&gt;0.04,"High",IF(N133&gt;0.03,"Medium","Low"))</f>
        <v/>
      </c>
    </row>
    <row r="134">
      <c r="A134" t="inlineStr">
        <is>
          <t>NM-09-21</t>
        </is>
      </c>
      <c r="B134" t="inlineStr">
        <is>
          <t>2026-08-31</t>
        </is>
      </c>
      <c r="C134" t="inlineStr">
        <is>
          <t>River Rouge Pilot</t>
        </is>
      </c>
      <c r="D134" t="inlineStr">
        <is>
          <t>Sensor Module</t>
        </is>
      </c>
      <c r="E134" t="inlineStr">
        <is>
          <t>Day</t>
        </is>
      </c>
      <c r="F134" t="inlineStr">
        <is>
          <t>Vector Embedded</t>
        </is>
      </c>
      <c r="G134" t="n">
        <v>1134</v>
      </c>
      <c r="H134" t="n">
        <v>1086</v>
      </c>
      <c r="I134" t="n">
        <v>37</v>
      </c>
      <c r="J134" t="n">
        <v>1004</v>
      </c>
      <c r="K134" t="n">
        <v>50.8</v>
      </c>
      <c r="L134" t="inlineStr">
        <is>
          <t>No</t>
        </is>
      </c>
      <c r="M134" t="inlineStr">
        <is>
          <t>Normal variation</t>
        </is>
      </c>
      <c r="N134" s="2">
        <f>I134/H134</f>
        <v/>
      </c>
      <c r="O134" s="2">
        <f>J134/H134</f>
        <v/>
      </c>
      <c r="P134">
        <f>H134-G134</f>
        <v/>
      </c>
      <c r="Q134">
        <f>IF(N134&gt;0.04,"High",IF(N134&gt;0.03,"Medium","Low"))</f>
        <v/>
      </c>
    </row>
    <row r="135">
      <c r="A135" t="inlineStr">
        <is>
          <t>NM-09-22</t>
        </is>
      </c>
      <c r="B135" t="inlineStr">
        <is>
          <t>2026-08-31</t>
        </is>
      </c>
      <c r="C135" t="inlineStr">
        <is>
          <t>River Rouge Pilot</t>
        </is>
      </c>
      <c r="D135" t="inlineStr">
        <is>
          <t>Battery Controller</t>
        </is>
      </c>
      <c r="E135" t="inlineStr">
        <is>
          <t>Day</t>
        </is>
      </c>
      <c r="F135" t="inlineStr">
        <is>
          <t>Summit Plastics</t>
        </is>
      </c>
      <c r="G135" t="n">
        <v>1128</v>
      </c>
      <c r="H135" t="n">
        <v>1020</v>
      </c>
      <c r="I135" t="n">
        <v>40</v>
      </c>
      <c r="J135" t="n">
        <v>933</v>
      </c>
      <c r="K135" t="n">
        <v>50.7</v>
      </c>
      <c r="L135" t="inlineStr">
        <is>
          <t>No</t>
        </is>
      </c>
      <c r="M135" t="inlineStr">
        <is>
          <t>Normal variation</t>
        </is>
      </c>
      <c r="N135" s="2">
        <f>I135/H135</f>
        <v/>
      </c>
      <c r="O135" s="2">
        <f>J135/H135</f>
        <v/>
      </c>
      <c r="P135">
        <f>H135-G135</f>
        <v/>
      </c>
      <c r="Q135">
        <f>IF(N135&gt;0.04,"High",IF(N135&gt;0.03,"Medium","Low"))</f>
        <v/>
      </c>
    </row>
    <row r="136">
      <c r="A136" t="inlineStr">
        <is>
          <t>NM-09-23</t>
        </is>
      </c>
      <c r="B136" t="inlineStr">
        <is>
          <t>2026-08-31</t>
        </is>
      </c>
      <c r="C136" t="inlineStr">
        <is>
          <t>River Rouge Pilot</t>
        </is>
      </c>
      <c r="D136" t="inlineStr">
        <is>
          <t>Infotainment Harness</t>
        </is>
      </c>
      <c r="E136" t="inlineStr">
        <is>
          <t>Swing</t>
        </is>
      </c>
      <c r="F136" t="inlineStr">
        <is>
          <t>Summit Plastics</t>
        </is>
      </c>
      <c r="G136" t="n">
        <v>948</v>
      </c>
      <c r="H136" t="n">
        <v>912</v>
      </c>
      <c r="I136" t="n">
        <v>18</v>
      </c>
      <c r="J136" t="n">
        <v>811</v>
      </c>
      <c r="K136" t="n">
        <v>38.5</v>
      </c>
      <c r="L136" t="inlineStr">
        <is>
          <t>No</t>
        </is>
      </c>
      <c r="M136" t="inlineStr">
        <is>
          <t>Normal variation</t>
        </is>
      </c>
      <c r="N136" s="2">
        <f>I136/H136</f>
        <v/>
      </c>
      <c r="O136" s="2">
        <f>J136/H136</f>
        <v/>
      </c>
      <c r="P136">
        <f>H136-G136</f>
        <v/>
      </c>
      <c r="Q136">
        <f>IF(N136&gt;0.04,"High",IF(N136&gt;0.03,"Medium","Low"))</f>
        <v/>
      </c>
    </row>
    <row r="137">
      <c r="A137" t="inlineStr">
        <is>
          <t>NM-09-24</t>
        </is>
      </c>
      <c r="B137" t="inlineStr">
        <is>
          <t>2026-08-31</t>
        </is>
      </c>
      <c r="C137" t="inlineStr">
        <is>
          <t>River Rouge Pilot</t>
        </is>
      </c>
      <c r="D137" t="inlineStr">
        <is>
          <t>Drive Unit Housing</t>
        </is>
      </c>
      <c r="E137" t="inlineStr">
        <is>
          <t>Swing</t>
        </is>
      </c>
      <c r="F137" t="inlineStr">
        <is>
          <t>Blue Harbor Components</t>
        </is>
      </c>
      <c r="G137" t="n">
        <v>917</v>
      </c>
      <c r="H137" t="n">
        <v>856</v>
      </c>
      <c r="I137" t="n">
        <v>28</v>
      </c>
      <c r="J137" t="n">
        <v>806</v>
      </c>
      <c r="K137" t="n">
        <v>36.4</v>
      </c>
      <c r="L137" t="inlineStr">
        <is>
          <t>No</t>
        </is>
      </c>
      <c r="M137" t="inlineStr">
        <is>
          <t>Normal variation</t>
        </is>
      </c>
      <c r="N137" s="2">
        <f>I137/H137</f>
        <v/>
      </c>
      <c r="O137" s="2">
        <f>J137/H137</f>
        <v/>
      </c>
      <c r="P137">
        <f>H137-G137</f>
        <v/>
      </c>
      <c r="Q137">
        <f>IF(N137&gt;0.04,"High",IF(N137&gt;0.03,"Medium","Low"))</f>
        <v/>
      </c>
    </row>
    <row r="138">
      <c r="A138" t="inlineStr">
        <is>
          <t>NM-09-31</t>
        </is>
      </c>
      <c r="B138" t="inlineStr">
        <is>
          <t>2026-08-31</t>
        </is>
      </c>
      <c r="C138" t="inlineStr">
        <is>
          <t>Lakeside Components</t>
        </is>
      </c>
      <c r="D138" t="inlineStr">
        <is>
          <t>Sensor Module</t>
        </is>
      </c>
      <c r="E138" t="inlineStr">
        <is>
          <t>Swing</t>
        </is>
      </c>
      <c r="F138" t="inlineStr">
        <is>
          <t>Summit Plastics</t>
        </is>
      </c>
      <c r="G138" t="n">
        <v>1239</v>
      </c>
      <c r="H138" t="n">
        <v>1152</v>
      </c>
      <c r="I138" t="n">
        <v>32</v>
      </c>
      <c r="J138" t="n">
        <v>1075</v>
      </c>
      <c r="K138" t="n">
        <v>62.3</v>
      </c>
      <c r="L138" t="inlineStr">
        <is>
          <t>Yes</t>
        </is>
      </c>
      <c r="M138" t="inlineStr">
        <is>
          <t>Normal variation</t>
        </is>
      </c>
      <c r="N138" s="2">
        <f>I138/H138</f>
        <v/>
      </c>
      <c r="O138" s="2">
        <f>J138/H138</f>
        <v/>
      </c>
      <c r="P138">
        <f>H138-G138</f>
        <v/>
      </c>
      <c r="Q138">
        <f>IF(N138&gt;0.04,"High",IF(N138&gt;0.03,"Medium","Low"))</f>
        <v/>
      </c>
    </row>
    <row r="139">
      <c r="A139" t="inlineStr">
        <is>
          <t>NM-09-32</t>
        </is>
      </c>
      <c r="B139" t="inlineStr">
        <is>
          <t>2026-08-31</t>
        </is>
      </c>
      <c r="C139" t="inlineStr">
        <is>
          <t>Lakeside Components</t>
        </is>
      </c>
      <c r="D139" t="inlineStr">
        <is>
          <t>Battery Controller</t>
        </is>
      </c>
      <c r="E139" t="inlineStr">
        <is>
          <t>Swing</t>
        </is>
      </c>
      <c r="F139" t="inlineStr">
        <is>
          <t>Summit Plastics</t>
        </is>
      </c>
      <c r="G139" t="n">
        <v>1154</v>
      </c>
      <c r="H139" t="n">
        <v>982</v>
      </c>
      <c r="I139" t="n">
        <v>33</v>
      </c>
      <c r="J139" t="n">
        <v>906</v>
      </c>
      <c r="K139" t="n">
        <v>60</v>
      </c>
      <c r="L139" t="inlineStr">
        <is>
          <t>No</t>
        </is>
      </c>
      <c r="M139" t="inlineStr">
        <is>
          <t>Normal variation</t>
        </is>
      </c>
      <c r="N139" s="2">
        <f>I139/H139</f>
        <v/>
      </c>
      <c r="O139" s="2">
        <f>J139/H139</f>
        <v/>
      </c>
      <c r="P139">
        <f>H139-G139</f>
        <v/>
      </c>
      <c r="Q139">
        <f>IF(N139&gt;0.04,"High",IF(N139&gt;0.03,"Medium","Low"))</f>
        <v/>
      </c>
    </row>
    <row r="140">
      <c r="A140" t="inlineStr">
        <is>
          <t>NM-09-33</t>
        </is>
      </c>
      <c r="B140" t="inlineStr">
        <is>
          <t>2026-08-31</t>
        </is>
      </c>
      <c r="C140" t="inlineStr">
        <is>
          <t>Lakeside Components</t>
        </is>
      </c>
      <c r="D140" t="inlineStr">
        <is>
          <t>Infotainment Harness</t>
        </is>
      </c>
      <c r="E140" t="inlineStr">
        <is>
          <t>Swing</t>
        </is>
      </c>
      <c r="F140" t="inlineStr">
        <is>
          <t>Pioneer Circuit Works</t>
        </is>
      </c>
      <c r="G140" t="n">
        <v>1146</v>
      </c>
      <c r="H140" t="n">
        <v>973</v>
      </c>
      <c r="I140" t="n">
        <v>34</v>
      </c>
      <c r="J140" t="n">
        <v>856</v>
      </c>
      <c r="K140" t="n">
        <v>46.3</v>
      </c>
      <c r="L140" t="inlineStr">
        <is>
          <t>No</t>
        </is>
      </c>
      <c r="M140" t="inlineStr">
        <is>
          <t>Normal variation</t>
        </is>
      </c>
      <c r="N140" s="2">
        <f>I140/H140</f>
        <v/>
      </c>
      <c r="O140" s="2">
        <f>J140/H140</f>
        <v/>
      </c>
      <c r="P140">
        <f>H140-G140</f>
        <v/>
      </c>
      <c r="Q140">
        <f>IF(N140&gt;0.04,"High",IF(N140&gt;0.03,"Medium","Low"))</f>
        <v/>
      </c>
    </row>
    <row r="141">
      <c r="A141" t="inlineStr">
        <is>
          <t>NM-09-34</t>
        </is>
      </c>
      <c r="B141" t="inlineStr">
        <is>
          <t>2026-08-31</t>
        </is>
      </c>
      <c r="C141" t="inlineStr">
        <is>
          <t>Lakeside Components</t>
        </is>
      </c>
      <c r="D141" t="inlineStr">
        <is>
          <t>Drive Unit Housing</t>
        </is>
      </c>
      <c r="E141" t="inlineStr">
        <is>
          <t>Night</t>
        </is>
      </c>
      <c r="F141" t="inlineStr">
        <is>
          <t>Summit Plastics</t>
        </is>
      </c>
      <c r="G141" t="n">
        <v>1023</v>
      </c>
      <c r="H141" t="n">
        <v>886</v>
      </c>
      <c r="I141" t="n">
        <v>16</v>
      </c>
      <c r="J141" t="n">
        <v>859</v>
      </c>
      <c r="K141" t="n">
        <v>52</v>
      </c>
      <c r="L141" t="inlineStr">
        <is>
          <t>No</t>
        </is>
      </c>
      <c r="M141" t="inlineStr">
        <is>
          <t>Normal variation</t>
        </is>
      </c>
      <c r="N141" s="2">
        <f>I141/H141</f>
        <v/>
      </c>
      <c r="O141" s="2">
        <f>J141/H141</f>
        <v/>
      </c>
      <c r="P141">
        <f>H141-G141</f>
        <v/>
      </c>
      <c r="Q141">
        <f>IF(N141&gt;0.04,"High",IF(N141&gt;0.03,"Medium","Low"))</f>
        <v/>
      </c>
    </row>
    <row r="142">
      <c r="A142" t="inlineStr">
        <is>
          <t>NM-09-41</t>
        </is>
      </c>
      <c r="B142" t="inlineStr">
        <is>
          <t>2026-08-31</t>
        </is>
      </c>
      <c r="C142" t="inlineStr">
        <is>
          <t>Metro EV Systems</t>
        </is>
      </c>
      <c r="D142" t="inlineStr">
        <is>
          <t>Sensor Module</t>
        </is>
      </c>
      <c r="E142" t="inlineStr">
        <is>
          <t>Day</t>
        </is>
      </c>
      <c r="F142" t="inlineStr">
        <is>
          <t>Cedar Forge</t>
        </is>
      </c>
      <c r="G142" t="n">
        <v>1239</v>
      </c>
      <c r="H142" t="n">
        <v>1282</v>
      </c>
      <c r="I142" t="n">
        <v>22</v>
      </c>
      <c r="J142" t="n">
        <v>1240</v>
      </c>
      <c r="K142" t="n">
        <v>55.9</v>
      </c>
      <c r="L142" t="inlineStr">
        <is>
          <t>No</t>
        </is>
      </c>
      <c r="M142" t="inlineStr">
        <is>
          <t>Normal variation</t>
        </is>
      </c>
      <c r="N142" s="2">
        <f>I142/H142</f>
        <v/>
      </c>
      <c r="O142" s="2">
        <f>J142/H142</f>
        <v/>
      </c>
      <c r="P142">
        <f>H142-G142</f>
        <v/>
      </c>
      <c r="Q142">
        <f>IF(N142&gt;0.04,"High",IF(N142&gt;0.03,"Medium","Low"))</f>
        <v/>
      </c>
    </row>
    <row r="143">
      <c r="A143" t="inlineStr">
        <is>
          <t>NM-09-42</t>
        </is>
      </c>
      <c r="B143" t="inlineStr">
        <is>
          <t>2026-08-31</t>
        </is>
      </c>
      <c r="C143" t="inlineStr">
        <is>
          <t>Metro EV Systems</t>
        </is>
      </c>
      <c r="D143" t="inlineStr">
        <is>
          <t>Battery Controller</t>
        </is>
      </c>
      <c r="E143" t="inlineStr">
        <is>
          <t>Swing</t>
        </is>
      </c>
      <c r="F143" t="inlineStr">
        <is>
          <t>Blue Harbor Components</t>
        </is>
      </c>
      <c r="G143" t="n">
        <v>821</v>
      </c>
      <c r="H143" t="n">
        <v>797</v>
      </c>
      <c r="I143" t="n">
        <v>25</v>
      </c>
      <c r="J143" t="n">
        <v>702</v>
      </c>
      <c r="K143" t="n">
        <v>28.9</v>
      </c>
      <c r="L143" t="inlineStr">
        <is>
          <t>No</t>
        </is>
      </c>
      <c r="M143" t="inlineStr">
        <is>
          <t>Normal variation</t>
        </is>
      </c>
      <c r="N143" s="2">
        <f>I143/H143</f>
        <v/>
      </c>
      <c r="O143" s="2">
        <f>J143/H143</f>
        <v/>
      </c>
      <c r="P143">
        <f>H143-G143</f>
        <v/>
      </c>
      <c r="Q143">
        <f>IF(N143&gt;0.04,"High",IF(N143&gt;0.03,"Medium","Low"))</f>
        <v/>
      </c>
    </row>
    <row r="144">
      <c r="A144" t="inlineStr">
        <is>
          <t>NM-09-43</t>
        </is>
      </c>
      <c r="B144" t="inlineStr">
        <is>
          <t>2026-08-31</t>
        </is>
      </c>
      <c r="C144" t="inlineStr">
        <is>
          <t>Metro EV Systems</t>
        </is>
      </c>
      <c r="D144" t="inlineStr">
        <is>
          <t>Infotainment Harness</t>
        </is>
      </c>
      <c r="E144" t="inlineStr">
        <is>
          <t>Day</t>
        </is>
      </c>
      <c r="F144" t="inlineStr">
        <is>
          <t>Vector Embedded</t>
        </is>
      </c>
      <c r="G144" t="n">
        <v>956</v>
      </c>
      <c r="H144" t="n">
        <v>952</v>
      </c>
      <c r="I144" t="n">
        <v>14</v>
      </c>
      <c r="J144" t="n">
        <v>846</v>
      </c>
      <c r="K144" t="n">
        <v>43</v>
      </c>
      <c r="L144" t="inlineStr">
        <is>
          <t>No</t>
        </is>
      </c>
      <c r="M144" t="inlineStr">
        <is>
          <t>Normal variation</t>
        </is>
      </c>
      <c r="N144" s="2">
        <f>I144/H144</f>
        <v/>
      </c>
      <c r="O144" s="2">
        <f>J144/H144</f>
        <v/>
      </c>
      <c r="P144">
        <f>H144-G144</f>
        <v/>
      </c>
      <c r="Q144">
        <f>IF(N144&gt;0.04,"High",IF(N144&gt;0.03,"Medium","Low"))</f>
        <v/>
      </c>
    </row>
    <row r="145">
      <c r="A145" t="inlineStr">
        <is>
          <t>NM-09-44</t>
        </is>
      </c>
      <c r="B145" t="inlineStr">
        <is>
          <t>2026-08-31</t>
        </is>
      </c>
      <c r="C145" t="inlineStr">
        <is>
          <t>Metro EV Systems</t>
        </is>
      </c>
      <c r="D145" t="inlineStr">
        <is>
          <t>Drive Unit Housing</t>
        </is>
      </c>
      <c r="E145" t="inlineStr">
        <is>
          <t>Day</t>
        </is>
      </c>
      <c r="F145" t="inlineStr">
        <is>
          <t>Cedar Forge</t>
        </is>
      </c>
      <c r="G145" t="n">
        <v>981</v>
      </c>
      <c r="H145" t="n">
        <v>890</v>
      </c>
      <c r="I145" t="n">
        <v>37</v>
      </c>
      <c r="J145" t="n">
        <v>833</v>
      </c>
      <c r="K145" t="n">
        <v>60.2</v>
      </c>
      <c r="L145" t="inlineStr">
        <is>
          <t>No</t>
        </is>
      </c>
      <c r="M145" t="inlineStr">
        <is>
          <t>Review supplier batch</t>
        </is>
      </c>
      <c r="N145" s="2">
        <f>I145/H145</f>
        <v/>
      </c>
      <c r="O145" s="2">
        <f>J145/H145</f>
        <v/>
      </c>
      <c r="P145">
        <f>H145-G145</f>
        <v/>
      </c>
      <c r="Q145">
        <f>IF(N145&gt;0.04,"High",IF(N145&gt;0.03,"Medium","Low"))</f>
        <v/>
      </c>
    </row>
    <row r="146">
      <c r="A146" t="inlineStr">
        <is>
          <t>NM-10-11</t>
        </is>
      </c>
      <c r="B146" t="inlineStr">
        <is>
          <t>2026-09-07</t>
        </is>
      </c>
      <c r="C146" t="inlineStr">
        <is>
          <t>North Assembly</t>
        </is>
      </c>
      <c r="D146" t="inlineStr">
        <is>
          <t>Sensor Module</t>
        </is>
      </c>
      <c r="E146" t="inlineStr">
        <is>
          <t>Day</t>
        </is>
      </c>
      <c r="F146" t="inlineStr">
        <is>
          <t>Blue Harbor Components</t>
        </is>
      </c>
      <c r="G146" t="n">
        <v>1176</v>
      </c>
      <c r="H146" t="n">
        <v>1146</v>
      </c>
      <c r="I146" t="n">
        <v>35</v>
      </c>
      <c r="J146" t="n">
        <v>1052</v>
      </c>
      <c r="K146" t="n">
        <v>56.7</v>
      </c>
      <c r="L146" t="inlineStr">
        <is>
          <t>No</t>
        </is>
      </c>
      <c r="M146" t="inlineStr">
        <is>
          <t>Normal variation</t>
        </is>
      </c>
      <c r="N146" s="2">
        <f>I146/H146</f>
        <v/>
      </c>
      <c r="O146" s="2">
        <f>J146/H146</f>
        <v/>
      </c>
      <c r="P146">
        <f>H146-G146</f>
        <v/>
      </c>
      <c r="Q146">
        <f>IF(N146&gt;0.04,"High",IF(N146&gt;0.03,"Medium","Low"))</f>
        <v/>
      </c>
    </row>
    <row r="147">
      <c r="A147" t="inlineStr">
        <is>
          <t>NM-10-12</t>
        </is>
      </c>
      <c r="B147" t="inlineStr">
        <is>
          <t>2026-09-07</t>
        </is>
      </c>
      <c r="C147" t="inlineStr">
        <is>
          <t>North Assembly</t>
        </is>
      </c>
      <c r="D147" t="inlineStr">
        <is>
          <t>Battery Controller</t>
        </is>
      </c>
      <c r="E147" t="inlineStr">
        <is>
          <t>Day</t>
        </is>
      </c>
      <c r="F147" t="inlineStr">
        <is>
          <t>Blue Harbor Components</t>
        </is>
      </c>
      <c r="G147" t="n">
        <v>1228</v>
      </c>
      <c r="H147" t="n">
        <v>1108</v>
      </c>
      <c r="I147" t="n">
        <v>34</v>
      </c>
      <c r="J147" t="n">
        <v>1019</v>
      </c>
      <c r="K147" t="n">
        <v>53.1</v>
      </c>
      <c r="L147" t="inlineStr">
        <is>
          <t>No</t>
        </is>
      </c>
      <c r="M147" t="inlineStr">
        <is>
          <t>Normal variation</t>
        </is>
      </c>
      <c r="N147" s="2">
        <f>I147/H147</f>
        <v/>
      </c>
      <c r="O147" s="2">
        <f>J147/H147</f>
        <v/>
      </c>
      <c r="P147">
        <f>H147-G147</f>
        <v/>
      </c>
      <c r="Q147">
        <f>IF(N147&gt;0.04,"High",IF(N147&gt;0.03,"Medium","Low"))</f>
        <v/>
      </c>
    </row>
    <row r="148">
      <c r="A148" t="inlineStr">
        <is>
          <t>NM-10-13</t>
        </is>
      </c>
      <c r="B148" t="inlineStr">
        <is>
          <t>2026-09-07</t>
        </is>
      </c>
      <c r="C148" t="inlineStr">
        <is>
          <t>North Assembly</t>
        </is>
      </c>
      <c r="D148" t="inlineStr">
        <is>
          <t>Infotainment Harness</t>
        </is>
      </c>
      <c r="E148" t="inlineStr">
        <is>
          <t>Day</t>
        </is>
      </c>
      <c r="F148" t="inlineStr">
        <is>
          <t>Cedar Forge</t>
        </is>
      </c>
      <c r="G148" t="n">
        <v>1003</v>
      </c>
      <c r="H148" t="n">
        <v>930</v>
      </c>
      <c r="I148" t="n">
        <v>28</v>
      </c>
      <c r="J148" t="n">
        <v>909</v>
      </c>
      <c r="K148" t="n">
        <v>62.1</v>
      </c>
      <c r="L148" t="inlineStr">
        <is>
          <t>No</t>
        </is>
      </c>
      <c r="M148" t="inlineStr">
        <is>
          <t>Normal variation</t>
        </is>
      </c>
      <c r="N148" s="2">
        <f>I148/H148</f>
        <v/>
      </c>
      <c r="O148" s="2">
        <f>J148/H148</f>
        <v/>
      </c>
      <c r="P148">
        <f>H148-G148</f>
        <v/>
      </c>
      <c r="Q148">
        <f>IF(N148&gt;0.04,"High",IF(N148&gt;0.03,"Medium","Low"))</f>
        <v/>
      </c>
    </row>
    <row r="149">
      <c r="A149" t="inlineStr">
        <is>
          <t>NM-10-14</t>
        </is>
      </c>
      <c r="B149" t="inlineStr">
        <is>
          <t>2026-09-07</t>
        </is>
      </c>
      <c r="C149" t="inlineStr">
        <is>
          <t>North Assembly</t>
        </is>
      </c>
      <c r="D149" t="inlineStr">
        <is>
          <t>Drive Unit Housing</t>
        </is>
      </c>
      <c r="E149" t="inlineStr">
        <is>
          <t>Swing</t>
        </is>
      </c>
      <c r="F149" t="inlineStr">
        <is>
          <t>Vector Embedded</t>
        </is>
      </c>
      <c r="G149" t="n">
        <v>974</v>
      </c>
      <c r="H149" t="n">
        <v>896</v>
      </c>
      <c r="I149" t="n">
        <v>12</v>
      </c>
      <c r="J149" t="n">
        <v>827</v>
      </c>
      <c r="K149" t="n">
        <v>59.1</v>
      </c>
      <c r="L149" t="inlineStr">
        <is>
          <t>No</t>
        </is>
      </c>
      <c r="M149" t="inlineStr">
        <is>
          <t>Normal variation</t>
        </is>
      </c>
      <c r="N149" s="2">
        <f>I149/H149</f>
        <v/>
      </c>
      <c r="O149" s="2">
        <f>J149/H149</f>
        <v/>
      </c>
      <c r="P149">
        <f>H149-G149</f>
        <v/>
      </c>
      <c r="Q149">
        <f>IF(N149&gt;0.04,"High",IF(N149&gt;0.03,"Medium","Low"))</f>
        <v/>
      </c>
    </row>
    <row r="150">
      <c r="A150" t="inlineStr">
        <is>
          <t>NM-10-21</t>
        </is>
      </c>
      <c r="B150" t="inlineStr">
        <is>
          <t>2026-09-07</t>
        </is>
      </c>
      <c r="C150" t="inlineStr">
        <is>
          <t>River Rouge Pilot</t>
        </is>
      </c>
      <c r="D150" t="inlineStr">
        <is>
          <t>Sensor Module</t>
        </is>
      </c>
      <c r="E150" t="inlineStr">
        <is>
          <t>Night</t>
        </is>
      </c>
      <c r="F150" t="inlineStr">
        <is>
          <t>Summit Plastics</t>
        </is>
      </c>
      <c r="G150" t="n">
        <v>900</v>
      </c>
      <c r="H150" t="n">
        <v>935</v>
      </c>
      <c r="I150" t="n">
        <v>12</v>
      </c>
      <c r="J150" t="n">
        <v>899</v>
      </c>
      <c r="K150" t="n">
        <v>63.6</v>
      </c>
      <c r="L150" t="inlineStr">
        <is>
          <t>Yes</t>
        </is>
      </c>
      <c r="M150" t="inlineStr">
        <is>
          <t>Normal variation</t>
        </is>
      </c>
      <c r="N150" s="2">
        <f>I150/H150</f>
        <v/>
      </c>
      <c r="O150" s="2">
        <f>J150/H150</f>
        <v/>
      </c>
      <c r="P150">
        <f>H150-G150</f>
        <v/>
      </c>
      <c r="Q150">
        <f>IF(N150&gt;0.04,"High",IF(N150&gt;0.03,"Medium","Low"))</f>
        <v/>
      </c>
    </row>
    <row r="151">
      <c r="A151" t="inlineStr">
        <is>
          <t>NM-10-22</t>
        </is>
      </c>
      <c r="B151" t="inlineStr">
        <is>
          <t>2026-09-07</t>
        </is>
      </c>
      <c r="C151" t="inlineStr">
        <is>
          <t>River Rouge Pilot</t>
        </is>
      </c>
      <c r="D151" t="inlineStr">
        <is>
          <t>Battery Controller</t>
        </is>
      </c>
      <c r="E151" t="inlineStr">
        <is>
          <t>Day</t>
        </is>
      </c>
      <c r="F151" t="inlineStr">
        <is>
          <t>Vector Embedded</t>
        </is>
      </c>
      <c r="G151" t="n">
        <v>856</v>
      </c>
      <c r="H151" t="n">
        <v>791</v>
      </c>
      <c r="I151" t="n">
        <v>30</v>
      </c>
      <c r="J151" t="n">
        <v>709</v>
      </c>
      <c r="K151" t="n">
        <v>42.7</v>
      </c>
      <c r="L151" t="inlineStr">
        <is>
          <t>No</t>
        </is>
      </c>
      <c r="M151" t="inlineStr">
        <is>
          <t>Normal variation</t>
        </is>
      </c>
      <c r="N151" s="2">
        <f>I151/H151</f>
        <v/>
      </c>
      <c r="O151" s="2">
        <f>J151/H151</f>
        <v/>
      </c>
      <c r="P151">
        <f>H151-G151</f>
        <v/>
      </c>
      <c r="Q151">
        <f>IF(N151&gt;0.04,"High",IF(N151&gt;0.03,"Medium","Low"))</f>
        <v/>
      </c>
    </row>
    <row r="152">
      <c r="A152" t="inlineStr">
        <is>
          <t>NM-10-23</t>
        </is>
      </c>
      <c r="B152" t="inlineStr">
        <is>
          <t>2026-09-07</t>
        </is>
      </c>
      <c r="C152" t="inlineStr">
        <is>
          <t>River Rouge Pilot</t>
        </is>
      </c>
      <c r="D152" t="inlineStr">
        <is>
          <t>Infotainment Harness</t>
        </is>
      </c>
      <c r="E152" t="inlineStr">
        <is>
          <t>Swing</t>
        </is>
      </c>
      <c r="F152" t="inlineStr">
        <is>
          <t>Vector Embedded</t>
        </is>
      </c>
      <c r="G152" t="n">
        <v>1268</v>
      </c>
      <c r="H152" t="n">
        <v>1247</v>
      </c>
      <c r="I152" t="n">
        <v>52</v>
      </c>
      <c r="J152" t="n">
        <v>1119</v>
      </c>
      <c r="K152" t="n">
        <v>37</v>
      </c>
      <c r="L152" t="inlineStr">
        <is>
          <t>No</t>
        </is>
      </c>
      <c r="M152" t="inlineStr">
        <is>
          <t>Review supplier batch</t>
        </is>
      </c>
      <c r="N152" s="2">
        <f>I152/H152</f>
        <v/>
      </c>
      <c r="O152" s="2">
        <f>J152/H152</f>
        <v/>
      </c>
      <c r="P152">
        <f>H152-G152</f>
        <v/>
      </c>
      <c r="Q152">
        <f>IF(N152&gt;0.04,"High",IF(N152&gt;0.03,"Medium","Low"))</f>
        <v/>
      </c>
    </row>
    <row r="153">
      <c r="A153" t="inlineStr">
        <is>
          <t>NM-10-24</t>
        </is>
      </c>
      <c r="B153" t="inlineStr">
        <is>
          <t>2026-09-07</t>
        </is>
      </c>
      <c r="C153" t="inlineStr">
        <is>
          <t>River Rouge Pilot</t>
        </is>
      </c>
      <c r="D153" t="inlineStr">
        <is>
          <t>Drive Unit Housing</t>
        </is>
      </c>
      <c r="E153" t="inlineStr">
        <is>
          <t>Night</t>
        </is>
      </c>
      <c r="F153" t="inlineStr">
        <is>
          <t>Pioneer Circuit Works</t>
        </is>
      </c>
      <c r="G153" t="n">
        <v>1273</v>
      </c>
      <c r="H153" t="n">
        <v>1295</v>
      </c>
      <c r="I153" t="n">
        <v>35</v>
      </c>
      <c r="J153" t="n">
        <v>1231</v>
      </c>
      <c r="K153" t="n">
        <v>37.4</v>
      </c>
      <c r="L153" t="inlineStr">
        <is>
          <t>No</t>
        </is>
      </c>
      <c r="M153" t="inlineStr">
        <is>
          <t>Normal variation</t>
        </is>
      </c>
      <c r="N153" s="2">
        <f>I153/H153</f>
        <v/>
      </c>
      <c r="O153" s="2">
        <f>J153/H153</f>
        <v/>
      </c>
      <c r="P153">
        <f>H153-G153</f>
        <v/>
      </c>
      <c r="Q153">
        <f>IF(N153&gt;0.04,"High",IF(N153&gt;0.03,"Medium","Low"))</f>
        <v/>
      </c>
    </row>
    <row r="154">
      <c r="A154" t="inlineStr">
        <is>
          <t>NM-10-31</t>
        </is>
      </c>
      <c r="B154" t="inlineStr">
        <is>
          <t>2026-09-07</t>
        </is>
      </c>
      <c r="C154" t="inlineStr">
        <is>
          <t>Lakeside Components</t>
        </is>
      </c>
      <c r="D154" t="inlineStr">
        <is>
          <t>Sensor Module</t>
        </is>
      </c>
      <c r="E154" t="inlineStr">
        <is>
          <t>Night</t>
        </is>
      </c>
      <c r="F154" t="inlineStr">
        <is>
          <t>Cedar Forge</t>
        </is>
      </c>
      <c r="G154" t="n">
        <v>1155</v>
      </c>
      <c r="H154" t="n">
        <v>1082</v>
      </c>
      <c r="I154" t="n">
        <v>18</v>
      </c>
      <c r="J154" t="n">
        <v>1037</v>
      </c>
      <c r="K154" t="n">
        <v>60.4</v>
      </c>
      <c r="L154" t="inlineStr">
        <is>
          <t>No</t>
        </is>
      </c>
      <c r="M154" t="inlineStr">
        <is>
          <t>Normal variation</t>
        </is>
      </c>
      <c r="N154" s="2">
        <f>I154/H154</f>
        <v/>
      </c>
      <c r="O154" s="2">
        <f>J154/H154</f>
        <v/>
      </c>
      <c r="P154">
        <f>H154-G154</f>
        <v/>
      </c>
      <c r="Q154">
        <f>IF(N154&gt;0.04,"High",IF(N154&gt;0.03,"Medium","Low"))</f>
        <v/>
      </c>
    </row>
    <row r="155">
      <c r="A155" t="inlineStr">
        <is>
          <t>NM-10-32</t>
        </is>
      </c>
      <c r="B155" t="inlineStr">
        <is>
          <t>2026-09-07</t>
        </is>
      </c>
      <c r="C155" t="inlineStr">
        <is>
          <t>Lakeside Components</t>
        </is>
      </c>
      <c r="D155" t="inlineStr">
        <is>
          <t>Battery Controller</t>
        </is>
      </c>
      <c r="E155" t="inlineStr">
        <is>
          <t>Swing</t>
        </is>
      </c>
      <c r="F155" t="inlineStr">
        <is>
          <t>Cedar Forge</t>
        </is>
      </c>
      <c r="G155" t="n">
        <v>944</v>
      </c>
      <c r="H155" t="n">
        <v>822</v>
      </c>
      <c r="I155" t="n">
        <v>40</v>
      </c>
      <c r="J155" t="n">
        <v>805</v>
      </c>
      <c r="K155" t="n">
        <v>36.4</v>
      </c>
      <c r="L155" t="inlineStr">
        <is>
          <t>No</t>
        </is>
      </c>
      <c r="M155" t="inlineStr">
        <is>
          <t>Review supplier batch</t>
        </is>
      </c>
      <c r="N155" s="2">
        <f>I155/H155</f>
        <v/>
      </c>
      <c r="O155" s="2">
        <f>J155/H155</f>
        <v/>
      </c>
      <c r="P155">
        <f>H155-G155</f>
        <v/>
      </c>
      <c r="Q155">
        <f>IF(N155&gt;0.04,"High",IF(N155&gt;0.03,"Medium","Low"))</f>
        <v/>
      </c>
    </row>
    <row r="156">
      <c r="A156" t="inlineStr">
        <is>
          <t>NM-10-33</t>
        </is>
      </c>
      <c r="B156" t="inlineStr">
        <is>
          <t>2026-09-07</t>
        </is>
      </c>
      <c r="C156" t="inlineStr">
        <is>
          <t>Lakeside Components</t>
        </is>
      </c>
      <c r="D156" t="inlineStr">
        <is>
          <t>Infotainment Harness</t>
        </is>
      </c>
      <c r="E156" t="inlineStr">
        <is>
          <t>Night</t>
        </is>
      </c>
      <c r="F156" t="inlineStr">
        <is>
          <t>Summit Plastics</t>
        </is>
      </c>
      <c r="G156" t="n">
        <v>925</v>
      </c>
      <c r="H156" t="n">
        <v>812</v>
      </c>
      <c r="I156" t="n">
        <v>26</v>
      </c>
      <c r="J156" t="n">
        <v>769</v>
      </c>
      <c r="K156" t="n">
        <v>60.9</v>
      </c>
      <c r="L156" t="inlineStr">
        <is>
          <t>No</t>
        </is>
      </c>
      <c r="M156" t="inlineStr">
        <is>
          <t>Normal variation</t>
        </is>
      </c>
      <c r="N156" s="2">
        <f>I156/H156</f>
        <v/>
      </c>
      <c r="O156" s="2">
        <f>J156/H156</f>
        <v/>
      </c>
      <c r="P156">
        <f>H156-G156</f>
        <v/>
      </c>
      <c r="Q156">
        <f>IF(N156&gt;0.04,"High",IF(N156&gt;0.03,"Medium","Low"))</f>
        <v/>
      </c>
    </row>
    <row r="157">
      <c r="A157" t="inlineStr">
        <is>
          <t>NM-10-34</t>
        </is>
      </c>
      <c r="B157" t="inlineStr">
        <is>
          <t>2026-09-07</t>
        </is>
      </c>
      <c r="C157" t="inlineStr">
        <is>
          <t>Lakeside Components</t>
        </is>
      </c>
      <c r="D157" t="inlineStr">
        <is>
          <t>Drive Unit Housing</t>
        </is>
      </c>
      <c r="E157" t="inlineStr">
        <is>
          <t>Night</t>
        </is>
      </c>
      <c r="F157" t="inlineStr">
        <is>
          <t>Vector Embedded</t>
        </is>
      </c>
      <c r="G157" t="n">
        <v>1200</v>
      </c>
      <c r="H157" t="n">
        <v>1114</v>
      </c>
      <c r="I157" t="n">
        <v>46</v>
      </c>
      <c r="J157" t="n">
        <v>1047</v>
      </c>
      <c r="K157" t="n">
        <v>38.8</v>
      </c>
      <c r="L157" t="inlineStr">
        <is>
          <t>No</t>
        </is>
      </c>
      <c r="M157" t="inlineStr">
        <is>
          <t>Review supplier batch</t>
        </is>
      </c>
      <c r="N157" s="2">
        <f>I157/H157</f>
        <v/>
      </c>
      <c r="O157" s="2">
        <f>J157/H157</f>
        <v/>
      </c>
      <c r="P157">
        <f>H157-G157</f>
        <v/>
      </c>
      <c r="Q157">
        <f>IF(N157&gt;0.04,"High",IF(N157&gt;0.03,"Medium","Low"))</f>
        <v/>
      </c>
    </row>
    <row r="158">
      <c r="A158" t="inlineStr">
        <is>
          <t>NM-10-41</t>
        </is>
      </c>
      <c r="B158" t="inlineStr">
        <is>
          <t>2026-09-07</t>
        </is>
      </c>
      <c r="C158" t="inlineStr">
        <is>
          <t>Metro EV Systems</t>
        </is>
      </c>
      <c r="D158" t="inlineStr">
        <is>
          <t>Sensor Module</t>
        </is>
      </c>
      <c r="E158" t="inlineStr">
        <is>
          <t>Day</t>
        </is>
      </c>
      <c r="F158" t="inlineStr">
        <is>
          <t>Blue Harbor Components</t>
        </is>
      </c>
      <c r="G158" t="n">
        <v>857</v>
      </c>
      <c r="H158" t="n">
        <v>824</v>
      </c>
      <c r="I158" t="n">
        <v>26</v>
      </c>
      <c r="J158" t="n">
        <v>789</v>
      </c>
      <c r="K158" t="n">
        <v>61.5</v>
      </c>
      <c r="L158" t="inlineStr">
        <is>
          <t>No</t>
        </is>
      </c>
      <c r="M158" t="inlineStr">
        <is>
          <t>Normal variation</t>
        </is>
      </c>
      <c r="N158" s="2">
        <f>I158/H158</f>
        <v/>
      </c>
      <c r="O158" s="2">
        <f>J158/H158</f>
        <v/>
      </c>
      <c r="P158">
        <f>H158-G158</f>
        <v/>
      </c>
      <c r="Q158">
        <f>IF(N158&gt;0.04,"High",IF(N158&gt;0.03,"Medium","Low"))</f>
        <v/>
      </c>
    </row>
    <row r="159">
      <c r="A159" t="inlineStr">
        <is>
          <t>NM-10-42</t>
        </is>
      </c>
      <c r="B159" t="inlineStr">
        <is>
          <t>2026-09-07</t>
        </is>
      </c>
      <c r="C159" t="inlineStr">
        <is>
          <t>Metro EV Systems</t>
        </is>
      </c>
      <c r="D159" t="inlineStr">
        <is>
          <t>Battery Controller</t>
        </is>
      </c>
      <c r="E159" t="inlineStr">
        <is>
          <t>Swing</t>
        </is>
      </c>
      <c r="F159" t="inlineStr">
        <is>
          <t>Summit Plastics</t>
        </is>
      </c>
      <c r="G159" t="n">
        <v>831</v>
      </c>
      <c r="H159" t="n">
        <v>832</v>
      </c>
      <c r="I159" t="n">
        <v>37</v>
      </c>
      <c r="J159" t="n">
        <v>740</v>
      </c>
      <c r="K159" t="n">
        <v>36.9</v>
      </c>
      <c r="L159" t="inlineStr">
        <is>
          <t>Yes</t>
        </is>
      </c>
      <c r="M159" t="inlineStr">
        <is>
          <t>Review supplier batch</t>
        </is>
      </c>
      <c r="N159" s="2">
        <f>I159/H159</f>
        <v/>
      </c>
      <c r="O159" s="2">
        <f>J159/H159</f>
        <v/>
      </c>
      <c r="P159">
        <f>H159-G159</f>
        <v/>
      </c>
      <c r="Q159">
        <f>IF(N159&gt;0.04,"High",IF(N159&gt;0.03,"Medium","Low"))</f>
        <v/>
      </c>
    </row>
    <row r="160">
      <c r="A160" t="inlineStr">
        <is>
          <t>NM-10-43</t>
        </is>
      </c>
      <c r="B160" t="inlineStr">
        <is>
          <t>2026-09-07</t>
        </is>
      </c>
      <c r="C160" t="inlineStr">
        <is>
          <t>Metro EV Systems</t>
        </is>
      </c>
      <c r="D160" t="inlineStr">
        <is>
          <t>Infotainment Harness</t>
        </is>
      </c>
      <c r="E160" t="inlineStr">
        <is>
          <t>Night</t>
        </is>
      </c>
      <c r="F160" t="inlineStr">
        <is>
          <t>Pioneer Circuit Works</t>
        </is>
      </c>
      <c r="G160" t="n">
        <v>1200</v>
      </c>
      <c r="H160" t="n">
        <v>1176</v>
      </c>
      <c r="I160" t="n">
        <v>16</v>
      </c>
      <c r="J160" t="n">
        <v>1141</v>
      </c>
      <c r="K160" t="n">
        <v>47.9</v>
      </c>
      <c r="L160" t="inlineStr">
        <is>
          <t>No</t>
        </is>
      </c>
      <c r="M160" t="inlineStr">
        <is>
          <t>Normal variation</t>
        </is>
      </c>
      <c r="N160" s="2">
        <f>I160/H160</f>
        <v/>
      </c>
      <c r="O160" s="2">
        <f>J160/H160</f>
        <v/>
      </c>
      <c r="P160">
        <f>H160-G160</f>
        <v/>
      </c>
      <c r="Q160">
        <f>IF(N160&gt;0.04,"High",IF(N160&gt;0.03,"Medium","Low"))</f>
        <v/>
      </c>
    </row>
    <row r="161">
      <c r="A161" t="inlineStr">
        <is>
          <t>NM-10-44</t>
        </is>
      </c>
      <c r="B161" t="inlineStr">
        <is>
          <t>2026-09-07</t>
        </is>
      </c>
      <c r="C161" t="inlineStr">
        <is>
          <t>Metro EV Systems</t>
        </is>
      </c>
      <c r="D161" t="inlineStr">
        <is>
          <t>Drive Unit Housing</t>
        </is>
      </c>
      <c r="E161" t="inlineStr">
        <is>
          <t>Day</t>
        </is>
      </c>
      <c r="F161" t="inlineStr">
        <is>
          <t>Vector Embedded</t>
        </is>
      </c>
      <c r="G161" t="n">
        <v>878</v>
      </c>
      <c r="H161" t="n">
        <v>792</v>
      </c>
      <c r="I161" t="n">
        <v>15</v>
      </c>
      <c r="J161" t="n">
        <v>722</v>
      </c>
      <c r="K161" t="n">
        <v>35.5</v>
      </c>
      <c r="L161" t="inlineStr">
        <is>
          <t>No</t>
        </is>
      </c>
      <c r="M161" t="inlineStr">
        <is>
          <t>Normal variation</t>
        </is>
      </c>
      <c r="N161" s="2">
        <f>I161/H161</f>
        <v/>
      </c>
      <c r="O161" s="2">
        <f>J161/H161</f>
        <v/>
      </c>
      <c r="P161">
        <f>H161-G161</f>
        <v/>
      </c>
      <c r="Q161">
        <f>IF(N161&gt;0.04,"High",IF(N161&gt;0.03,"Medium","Low"))</f>
        <v/>
      </c>
    </row>
    <row r="162">
      <c r="A162" t="inlineStr">
        <is>
          <t>NM-11-11</t>
        </is>
      </c>
      <c r="B162" t="inlineStr">
        <is>
          <t>2026-09-14</t>
        </is>
      </c>
      <c r="C162" t="inlineStr">
        <is>
          <t>North Assembly</t>
        </is>
      </c>
      <c r="D162" t="inlineStr">
        <is>
          <t>Sensor Module</t>
        </is>
      </c>
      <c r="E162" t="inlineStr">
        <is>
          <t>Day</t>
        </is>
      </c>
      <c r="F162" t="inlineStr">
        <is>
          <t>Pioneer Circuit Works</t>
        </is>
      </c>
      <c r="G162" t="n">
        <v>872</v>
      </c>
      <c r="H162" t="n">
        <v>801</v>
      </c>
      <c r="I162" t="n">
        <v>23</v>
      </c>
      <c r="J162" t="n">
        <v>776</v>
      </c>
      <c r="K162" t="n">
        <v>62.6</v>
      </c>
      <c r="L162" t="inlineStr">
        <is>
          <t>No</t>
        </is>
      </c>
      <c r="M162" t="inlineStr">
        <is>
          <t>Normal variation</t>
        </is>
      </c>
      <c r="N162" s="2">
        <f>I162/H162</f>
        <v/>
      </c>
      <c r="O162" s="2">
        <f>J162/H162</f>
        <v/>
      </c>
      <c r="P162">
        <f>H162-G162</f>
        <v/>
      </c>
      <c r="Q162">
        <f>IF(N162&gt;0.04,"High",IF(N162&gt;0.03,"Medium","Low"))</f>
        <v/>
      </c>
    </row>
    <row r="163">
      <c r="A163" t="inlineStr">
        <is>
          <t>NM-11-12</t>
        </is>
      </c>
      <c r="B163" t="inlineStr">
        <is>
          <t>2026-09-14</t>
        </is>
      </c>
      <c r="C163" t="inlineStr">
        <is>
          <t>North Assembly</t>
        </is>
      </c>
      <c r="D163" t="inlineStr">
        <is>
          <t>Battery Controller</t>
        </is>
      </c>
      <c r="E163" t="inlineStr">
        <is>
          <t>Night</t>
        </is>
      </c>
      <c r="F163" t="inlineStr">
        <is>
          <t>Pioneer Circuit Works</t>
        </is>
      </c>
      <c r="G163" t="n">
        <v>821</v>
      </c>
      <c r="H163" t="n">
        <v>852</v>
      </c>
      <c r="I163" t="n">
        <v>48</v>
      </c>
      <c r="J163" t="n">
        <v>758</v>
      </c>
      <c r="K163" t="n">
        <v>39.6</v>
      </c>
      <c r="L163" t="inlineStr">
        <is>
          <t>No</t>
        </is>
      </c>
      <c r="M163" t="inlineStr">
        <is>
          <t>Review supplier batch</t>
        </is>
      </c>
      <c r="N163" s="2">
        <f>I163/H163</f>
        <v/>
      </c>
      <c r="O163" s="2">
        <f>J163/H163</f>
        <v/>
      </c>
      <c r="P163">
        <f>H163-G163</f>
        <v/>
      </c>
      <c r="Q163">
        <f>IF(N163&gt;0.04,"High",IF(N163&gt;0.03,"Medium","Low"))</f>
        <v/>
      </c>
    </row>
    <row r="164">
      <c r="A164" t="inlineStr">
        <is>
          <t>NM-11-13</t>
        </is>
      </c>
      <c r="B164" t="inlineStr">
        <is>
          <t>2026-09-14</t>
        </is>
      </c>
      <c r="C164" t="inlineStr">
        <is>
          <t>North Assembly</t>
        </is>
      </c>
      <c r="D164" t="inlineStr">
        <is>
          <t>Infotainment Harness</t>
        </is>
      </c>
      <c r="E164" t="inlineStr">
        <is>
          <t>Swing</t>
        </is>
      </c>
      <c r="F164" t="inlineStr">
        <is>
          <t>Vector Embedded</t>
        </is>
      </c>
      <c r="G164" t="n">
        <v>956</v>
      </c>
      <c r="H164" t="n">
        <v>962</v>
      </c>
      <c r="I164" t="n">
        <v>24</v>
      </c>
      <c r="J164" t="n">
        <v>901</v>
      </c>
      <c r="K164" t="n">
        <v>37.3</v>
      </c>
      <c r="L164" t="inlineStr">
        <is>
          <t>No</t>
        </is>
      </c>
      <c r="M164" t="inlineStr">
        <is>
          <t>Normal variation</t>
        </is>
      </c>
      <c r="N164" s="2">
        <f>I164/H164</f>
        <v/>
      </c>
      <c r="O164" s="2">
        <f>J164/H164</f>
        <v/>
      </c>
      <c r="P164">
        <f>H164-G164</f>
        <v/>
      </c>
      <c r="Q164">
        <f>IF(N164&gt;0.04,"High",IF(N164&gt;0.03,"Medium","Low"))</f>
        <v/>
      </c>
    </row>
    <row r="165">
      <c r="A165" t="inlineStr">
        <is>
          <t>NM-11-14</t>
        </is>
      </c>
      <c r="B165" t="inlineStr">
        <is>
          <t>2026-09-14</t>
        </is>
      </c>
      <c r="C165" t="inlineStr">
        <is>
          <t>North Assembly</t>
        </is>
      </c>
      <c r="D165" t="inlineStr">
        <is>
          <t>Drive Unit Housing</t>
        </is>
      </c>
      <c r="E165" t="inlineStr">
        <is>
          <t>Swing</t>
        </is>
      </c>
      <c r="F165" t="inlineStr">
        <is>
          <t>Vector Embedded</t>
        </is>
      </c>
      <c r="G165" t="n">
        <v>934</v>
      </c>
      <c r="H165" t="n">
        <v>898</v>
      </c>
      <c r="I165" t="n">
        <v>11</v>
      </c>
      <c r="J165" t="n">
        <v>819</v>
      </c>
      <c r="K165" t="n">
        <v>29.4</v>
      </c>
      <c r="L165" t="inlineStr">
        <is>
          <t>No</t>
        </is>
      </c>
      <c r="M165" t="inlineStr">
        <is>
          <t>Normal variation</t>
        </is>
      </c>
      <c r="N165" s="2">
        <f>I165/H165</f>
        <v/>
      </c>
      <c r="O165" s="2">
        <f>J165/H165</f>
        <v/>
      </c>
      <c r="P165">
        <f>H165-G165</f>
        <v/>
      </c>
      <c r="Q165">
        <f>IF(N165&gt;0.04,"High",IF(N165&gt;0.03,"Medium","Low"))</f>
        <v/>
      </c>
    </row>
    <row r="166">
      <c r="A166" t="inlineStr">
        <is>
          <t>NM-11-21</t>
        </is>
      </c>
      <c r="B166" t="inlineStr">
        <is>
          <t>2026-09-14</t>
        </is>
      </c>
      <c r="C166" t="inlineStr">
        <is>
          <t>River Rouge Pilot</t>
        </is>
      </c>
      <c r="D166" t="inlineStr">
        <is>
          <t>Sensor Module</t>
        </is>
      </c>
      <c r="E166" t="inlineStr">
        <is>
          <t>Night</t>
        </is>
      </c>
      <c r="F166" t="inlineStr">
        <is>
          <t>Cedar Forge</t>
        </is>
      </c>
      <c r="G166" t="n">
        <v>902</v>
      </c>
      <c r="H166" t="n">
        <v>838</v>
      </c>
      <c r="I166" t="n">
        <v>32</v>
      </c>
      <c r="J166" t="n">
        <v>793</v>
      </c>
      <c r="K166" t="n">
        <v>32.8</v>
      </c>
      <c r="L166" t="inlineStr">
        <is>
          <t>No</t>
        </is>
      </c>
      <c r="M166" t="inlineStr">
        <is>
          <t>Normal variation</t>
        </is>
      </c>
      <c r="N166" s="2">
        <f>I166/H166</f>
        <v/>
      </c>
      <c r="O166" s="2">
        <f>J166/H166</f>
        <v/>
      </c>
      <c r="P166">
        <f>H166-G166</f>
        <v/>
      </c>
      <c r="Q166">
        <f>IF(N166&gt;0.04,"High",IF(N166&gt;0.03,"Medium","Low"))</f>
        <v/>
      </c>
    </row>
    <row r="167">
      <c r="A167" t="inlineStr">
        <is>
          <t>NM-11-22</t>
        </is>
      </c>
      <c r="B167" t="inlineStr">
        <is>
          <t>2026-09-14</t>
        </is>
      </c>
      <c r="C167" t="inlineStr">
        <is>
          <t>River Rouge Pilot</t>
        </is>
      </c>
      <c r="D167" t="inlineStr">
        <is>
          <t>Battery Controller</t>
        </is>
      </c>
      <c r="E167" t="inlineStr">
        <is>
          <t>Day</t>
        </is>
      </c>
      <c r="F167" t="inlineStr">
        <is>
          <t>Summit Plastics</t>
        </is>
      </c>
      <c r="G167" t="n">
        <v>1032</v>
      </c>
      <c r="H167" t="n">
        <v>1050</v>
      </c>
      <c r="I167" t="n">
        <v>59</v>
      </c>
      <c r="J167" t="n">
        <v>1007</v>
      </c>
      <c r="K167" t="n">
        <v>37.9</v>
      </c>
      <c r="L167" t="inlineStr">
        <is>
          <t>No</t>
        </is>
      </c>
      <c r="M167" t="inlineStr">
        <is>
          <t>Review supplier batch</t>
        </is>
      </c>
      <c r="N167" s="2">
        <f>I167/H167</f>
        <v/>
      </c>
      <c r="O167" s="2">
        <f>J167/H167</f>
        <v/>
      </c>
      <c r="P167">
        <f>H167-G167</f>
        <v/>
      </c>
      <c r="Q167">
        <f>IF(N167&gt;0.04,"High",IF(N167&gt;0.03,"Medium","Low"))</f>
        <v/>
      </c>
    </row>
    <row r="168">
      <c r="A168" t="inlineStr">
        <is>
          <t>NM-11-23</t>
        </is>
      </c>
      <c r="B168" t="inlineStr">
        <is>
          <t>2026-09-14</t>
        </is>
      </c>
      <c r="C168" t="inlineStr">
        <is>
          <t>River Rouge Pilot</t>
        </is>
      </c>
      <c r="D168" t="inlineStr">
        <is>
          <t>Infotainment Harness</t>
        </is>
      </c>
      <c r="E168" t="inlineStr">
        <is>
          <t>Day</t>
        </is>
      </c>
      <c r="F168" t="inlineStr">
        <is>
          <t>Pioneer Circuit Works</t>
        </is>
      </c>
      <c r="G168" t="n">
        <v>1041</v>
      </c>
      <c r="H168" t="n">
        <v>947</v>
      </c>
      <c r="I168" t="n">
        <v>37</v>
      </c>
      <c r="J168" t="n">
        <v>835</v>
      </c>
      <c r="K168" t="n">
        <v>56.1</v>
      </c>
      <c r="L168" t="inlineStr">
        <is>
          <t>No</t>
        </is>
      </c>
      <c r="M168" t="inlineStr">
        <is>
          <t>Normal variation</t>
        </is>
      </c>
      <c r="N168" s="2">
        <f>I168/H168</f>
        <v/>
      </c>
      <c r="O168" s="2">
        <f>J168/H168</f>
        <v/>
      </c>
      <c r="P168">
        <f>H168-G168</f>
        <v/>
      </c>
      <c r="Q168">
        <f>IF(N168&gt;0.04,"High",IF(N168&gt;0.03,"Medium","Low"))</f>
        <v/>
      </c>
    </row>
    <row r="169">
      <c r="A169" t="inlineStr">
        <is>
          <t>NM-11-24</t>
        </is>
      </c>
      <c r="B169" t="inlineStr">
        <is>
          <t>2026-09-14</t>
        </is>
      </c>
      <c r="C169" t="inlineStr">
        <is>
          <t>River Rouge Pilot</t>
        </is>
      </c>
      <c r="D169" t="inlineStr">
        <is>
          <t>Drive Unit Housing</t>
        </is>
      </c>
      <c r="E169" t="inlineStr">
        <is>
          <t>Day</t>
        </is>
      </c>
      <c r="F169" t="inlineStr">
        <is>
          <t>Cedar Forge</t>
        </is>
      </c>
      <c r="G169" t="n">
        <v>1034</v>
      </c>
      <c r="H169" t="n">
        <v>971</v>
      </c>
      <c r="I169" t="n">
        <v>39</v>
      </c>
      <c r="J169" t="n">
        <v>926</v>
      </c>
      <c r="K169" t="n">
        <v>32.1</v>
      </c>
      <c r="L169" t="inlineStr">
        <is>
          <t>No</t>
        </is>
      </c>
      <c r="M169" t="inlineStr">
        <is>
          <t>Review supplier batch</t>
        </is>
      </c>
      <c r="N169" s="2">
        <f>I169/H169</f>
        <v/>
      </c>
      <c r="O169" s="2">
        <f>J169/H169</f>
        <v/>
      </c>
      <c r="P169">
        <f>H169-G169</f>
        <v/>
      </c>
      <c r="Q169">
        <f>IF(N169&gt;0.04,"High",IF(N169&gt;0.03,"Medium","Low"))</f>
        <v/>
      </c>
    </row>
    <row r="170">
      <c r="A170" t="inlineStr">
        <is>
          <t>NM-11-31</t>
        </is>
      </c>
      <c r="B170" t="inlineStr">
        <is>
          <t>2026-09-14</t>
        </is>
      </c>
      <c r="C170" t="inlineStr">
        <is>
          <t>Lakeside Components</t>
        </is>
      </c>
      <c r="D170" t="inlineStr">
        <is>
          <t>Sensor Module</t>
        </is>
      </c>
      <c r="E170" t="inlineStr">
        <is>
          <t>Day</t>
        </is>
      </c>
      <c r="F170" t="inlineStr">
        <is>
          <t>Vector Embedded</t>
        </is>
      </c>
      <c r="G170" t="n">
        <v>1235</v>
      </c>
      <c r="H170" t="n">
        <v>1070</v>
      </c>
      <c r="I170" t="n">
        <v>19</v>
      </c>
      <c r="J170" t="n">
        <v>962</v>
      </c>
      <c r="K170" t="n">
        <v>32.1</v>
      </c>
      <c r="L170" t="inlineStr">
        <is>
          <t>No</t>
        </is>
      </c>
      <c r="M170" t="inlineStr">
        <is>
          <t>Normal variation</t>
        </is>
      </c>
      <c r="N170" s="2">
        <f>I170/H170</f>
        <v/>
      </c>
      <c r="O170" s="2">
        <f>J170/H170</f>
        <v/>
      </c>
      <c r="P170">
        <f>H170-G170</f>
        <v/>
      </c>
      <c r="Q170">
        <f>IF(N170&gt;0.04,"High",IF(N170&gt;0.03,"Medium","Low"))</f>
        <v/>
      </c>
    </row>
    <row r="171">
      <c r="A171" t="inlineStr">
        <is>
          <t>NM-11-32</t>
        </is>
      </c>
      <c r="B171" t="inlineStr">
        <is>
          <t>2026-09-14</t>
        </is>
      </c>
      <c r="C171" t="inlineStr">
        <is>
          <t>Lakeside Components</t>
        </is>
      </c>
      <c r="D171" t="inlineStr">
        <is>
          <t>Battery Controller</t>
        </is>
      </c>
      <c r="E171" t="inlineStr">
        <is>
          <t>Swing</t>
        </is>
      </c>
      <c r="F171" t="inlineStr">
        <is>
          <t>Blue Harbor Components</t>
        </is>
      </c>
      <c r="G171" t="n">
        <v>848</v>
      </c>
      <c r="H171" t="n">
        <v>764</v>
      </c>
      <c r="I171" t="n">
        <v>39</v>
      </c>
      <c r="J171" t="n">
        <v>721</v>
      </c>
      <c r="K171" t="n">
        <v>34.9</v>
      </c>
      <c r="L171" t="inlineStr">
        <is>
          <t>No</t>
        </is>
      </c>
      <c r="M171" t="inlineStr">
        <is>
          <t>Review supplier batch</t>
        </is>
      </c>
      <c r="N171" s="2">
        <f>I171/H171</f>
        <v/>
      </c>
      <c r="O171" s="2">
        <f>J171/H171</f>
        <v/>
      </c>
      <c r="P171">
        <f>H171-G171</f>
        <v/>
      </c>
      <c r="Q171">
        <f>IF(N171&gt;0.04,"High",IF(N171&gt;0.03,"Medium","Low"))</f>
        <v/>
      </c>
    </row>
    <row r="172">
      <c r="A172" t="inlineStr">
        <is>
          <t>NM-11-33</t>
        </is>
      </c>
      <c r="B172" t="inlineStr">
        <is>
          <t>2026-09-14</t>
        </is>
      </c>
      <c r="C172" t="inlineStr">
        <is>
          <t>Lakeside Components</t>
        </is>
      </c>
      <c r="D172" t="inlineStr">
        <is>
          <t>Infotainment Harness</t>
        </is>
      </c>
      <c r="E172" t="inlineStr">
        <is>
          <t>Night</t>
        </is>
      </c>
      <c r="F172" t="inlineStr">
        <is>
          <t>Cedar Forge</t>
        </is>
      </c>
      <c r="G172" t="n">
        <v>1152</v>
      </c>
      <c r="H172" t="n">
        <v>977</v>
      </c>
      <c r="I172" t="n">
        <v>20</v>
      </c>
      <c r="J172" t="n">
        <v>879</v>
      </c>
      <c r="K172" t="n">
        <v>45</v>
      </c>
      <c r="L172" t="inlineStr">
        <is>
          <t>Yes</t>
        </is>
      </c>
      <c r="M172" t="inlineStr">
        <is>
          <t>Normal variation</t>
        </is>
      </c>
      <c r="N172" s="2">
        <f>I172/H172</f>
        <v/>
      </c>
      <c r="O172" s="2">
        <f>J172/H172</f>
        <v/>
      </c>
      <c r="P172">
        <f>H172-G172</f>
        <v/>
      </c>
      <c r="Q172">
        <f>IF(N172&gt;0.04,"High",IF(N172&gt;0.03,"Medium","Low"))</f>
        <v/>
      </c>
    </row>
    <row r="173">
      <c r="A173" t="inlineStr">
        <is>
          <t>NM-11-34</t>
        </is>
      </c>
      <c r="B173" t="inlineStr">
        <is>
          <t>2026-09-14</t>
        </is>
      </c>
      <c r="C173" t="inlineStr">
        <is>
          <t>Lakeside Components</t>
        </is>
      </c>
      <c r="D173" t="inlineStr">
        <is>
          <t>Drive Unit Housing</t>
        </is>
      </c>
      <c r="E173" t="inlineStr">
        <is>
          <t>Swing</t>
        </is>
      </c>
      <c r="F173" t="inlineStr">
        <is>
          <t>Blue Harbor Components</t>
        </is>
      </c>
      <c r="G173" t="n">
        <v>1075</v>
      </c>
      <c r="H173" t="n">
        <v>1022</v>
      </c>
      <c r="I173" t="n">
        <v>39</v>
      </c>
      <c r="J173" t="n">
        <v>906</v>
      </c>
      <c r="K173" t="n">
        <v>42.3</v>
      </c>
      <c r="L173" t="inlineStr">
        <is>
          <t>No</t>
        </is>
      </c>
      <c r="M173" t="inlineStr">
        <is>
          <t>Normal variation</t>
        </is>
      </c>
      <c r="N173" s="2">
        <f>I173/H173</f>
        <v/>
      </c>
      <c r="O173" s="2">
        <f>J173/H173</f>
        <v/>
      </c>
      <c r="P173">
        <f>H173-G173</f>
        <v/>
      </c>
      <c r="Q173">
        <f>IF(N173&gt;0.04,"High",IF(N173&gt;0.03,"Medium","Low"))</f>
        <v/>
      </c>
    </row>
    <row r="174">
      <c r="A174" t="inlineStr">
        <is>
          <t>NM-11-41</t>
        </is>
      </c>
      <c r="B174" t="inlineStr">
        <is>
          <t>2026-09-14</t>
        </is>
      </c>
      <c r="C174" t="inlineStr">
        <is>
          <t>Metro EV Systems</t>
        </is>
      </c>
      <c r="D174" t="inlineStr">
        <is>
          <t>Sensor Module</t>
        </is>
      </c>
      <c r="E174" t="inlineStr">
        <is>
          <t>Swing</t>
        </is>
      </c>
      <c r="F174" t="inlineStr">
        <is>
          <t>Blue Harbor Components</t>
        </is>
      </c>
      <c r="G174" t="n">
        <v>975</v>
      </c>
      <c r="H174" t="n">
        <v>997</v>
      </c>
      <c r="I174" t="n">
        <v>38</v>
      </c>
      <c r="J174" t="n">
        <v>921</v>
      </c>
      <c r="K174" t="n">
        <v>58.8</v>
      </c>
      <c r="L174" t="inlineStr">
        <is>
          <t>No</t>
        </is>
      </c>
      <c r="M174" t="inlineStr">
        <is>
          <t>Normal variation</t>
        </is>
      </c>
      <c r="N174" s="2">
        <f>I174/H174</f>
        <v/>
      </c>
      <c r="O174" s="2">
        <f>J174/H174</f>
        <v/>
      </c>
      <c r="P174">
        <f>H174-G174</f>
        <v/>
      </c>
      <c r="Q174">
        <f>IF(N174&gt;0.04,"High",IF(N174&gt;0.03,"Medium","Low"))</f>
        <v/>
      </c>
    </row>
    <row r="175">
      <c r="A175" t="inlineStr">
        <is>
          <t>NM-11-42</t>
        </is>
      </c>
      <c r="B175" t="inlineStr">
        <is>
          <t>2026-09-14</t>
        </is>
      </c>
      <c r="C175" t="inlineStr">
        <is>
          <t>Metro EV Systems</t>
        </is>
      </c>
      <c r="D175" t="inlineStr">
        <is>
          <t>Battery Controller</t>
        </is>
      </c>
      <c r="E175" t="inlineStr">
        <is>
          <t>Night</t>
        </is>
      </c>
      <c r="F175" t="inlineStr">
        <is>
          <t>Blue Harbor Components</t>
        </is>
      </c>
      <c r="G175" t="n">
        <v>979</v>
      </c>
      <c r="H175" t="n">
        <v>997</v>
      </c>
      <c r="I175" t="n">
        <v>57</v>
      </c>
      <c r="J175" t="n">
        <v>919</v>
      </c>
      <c r="K175" t="n">
        <v>46.6</v>
      </c>
      <c r="L175" t="inlineStr">
        <is>
          <t>No</t>
        </is>
      </c>
      <c r="M175" t="inlineStr">
        <is>
          <t>Review supplier batch</t>
        </is>
      </c>
      <c r="N175" s="2">
        <f>I175/H175</f>
        <v/>
      </c>
      <c r="O175" s="2">
        <f>J175/H175</f>
        <v/>
      </c>
      <c r="P175">
        <f>H175-G175</f>
        <v/>
      </c>
      <c r="Q175">
        <f>IF(N175&gt;0.04,"High",IF(N175&gt;0.03,"Medium","Low"))</f>
        <v/>
      </c>
    </row>
    <row r="176">
      <c r="A176" t="inlineStr">
        <is>
          <t>NM-11-43</t>
        </is>
      </c>
      <c r="B176" t="inlineStr">
        <is>
          <t>2026-09-14</t>
        </is>
      </c>
      <c r="C176" t="inlineStr">
        <is>
          <t>Metro EV Systems</t>
        </is>
      </c>
      <c r="D176" t="inlineStr">
        <is>
          <t>Infotainment Harness</t>
        </is>
      </c>
      <c r="E176" t="inlineStr">
        <is>
          <t>Night</t>
        </is>
      </c>
      <c r="F176" t="inlineStr">
        <is>
          <t>Pioneer Circuit Works</t>
        </is>
      </c>
      <c r="G176" t="n">
        <v>1084</v>
      </c>
      <c r="H176" t="n">
        <v>988</v>
      </c>
      <c r="I176" t="n">
        <v>18</v>
      </c>
      <c r="J176" t="n">
        <v>969</v>
      </c>
      <c r="K176" t="n">
        <v>46.5</v>
      </c>
      <c r="L176" t="inlineStr">
        <is>
          <t>Yes</t>
        </is>
      </c>
      <c r="M176" t="inlineStr">
        <is>
          <t>Normal variation</t>
        </is>
      </c>
      <c r="N176" s="2">
        <f>I176/H176</f>
        <v/>
      </c>
      <c r="O176" s="2">
        <f>J176/H176</f>
        <v/>
      </c>
      <c r="P176">
        <f>H176-G176</f>
        <v/>
      </c>
      <c r="Q176">
        <f>IF(N176&gt;0.04,"High",IF(N176&gt;0.03,"Medium","Low"))</f>
        <v/>
      </c>
    </row>
    <row r="177">
      <c r="A177" t="inlineStr">
        <is>
          <t>NM-11-44</t>
        </is>
      </c>
      <c r="B177" t="inlineStr">
        <is>
          <t>2026-09-14</t>
        </is>
      </c>
      <c r="C177" t="inlineStr">
        <is>
          <t>Metro EV Systems</t>
        </is>
      </c>
      <c r="D177" t="inlineStr">
        <is>
          <t>Drive Unit Housing</t>
        </is>
      </c>
      <c r="E177" t="inlineStr">
        <is>
          <t>Night</t>
        </is>
      </c>
      <c r="F177" t="inlineStr">
        <is>
          <t>Blue Harbor Components</t>
        </is>
      </c>
      <c r="G177" t="n">
        <v>1275</v>
      </c>
      <c r="H177" t="n">
        <v>1243</v>
      </c>
      <c r="I177" t="n">
        <v>49</v>
      </c>
      <c r="J177" t="n">
        <v>1109</v>
      </c>
      <c r="K177" t="n">
        <v>56</v>
      </c>
      <c r="L177" t="inlineStr">
        <is>
          <t>No</t>
        </is>
      </c>
      <c r="M177" t="inlineStr">
        <is>
          <t>Normal variation</t>
        </is>
      </c>
      <c r="N177" s="2">
        <f>I177/H177</f>
        <v/>
      </c>
      <c r="O177" s="2">
        <f>J177/H177</f>
        <v/>
      </c>
      <c r="P177">
        <f>H177-G177</f>
        <v/>
      </c>
      <c r="Q177">
        <f>IF(N177&gt;0.04,"High",IF(N177&gt;0.03,"Medium","Low"))</f>
        <v/>
      </c>
    </row>
    <row r="178">
      <c r="A178" t="inlineStr">
        <is>
          <t>NM-12-11</t>
        </is>
      </c>
      <c r="B178" t="inlineStr">
        <is>
          <t>2026-09-21</t>
        </is>
      </c>
      <c r="C178" t="inlineStr">
        <is>
          <t>North Assembly</t>
        </is>
      </c>
      <c r="D178" t="inlineStr">
        <is>
          <t>Sensor Module</t>
        </is>
      </c>
      <c r="E178" t="inlineStr">
        <is>
          <t>Swing</t>
        </is>
      </c>
      <c r="F178" t="inlineStr">
        <is>
          <t>Blue Harbor Components</t>
        </is>
      </c>
      <c r="G178" t="n">
        <v>960</v>
      </c>
      <c r="H178" t="n">
        <v>918</v>
      </c>
      <c r="I178" t="n">
        <v>29</v>
      </c>
      <c r="J178" t="n">
        <v>880</v>
      </c>
      <c r="K178" t="n">
        <v>44.2</v>
      </c>
      <c r="L178" t="inlineStr">
        <is>
          <t>No</t>
        </is>
      </c>
      <c r="M178" t="inlineStr">
        <is>
          <t>Normal variation</t>
        </is>
      </c>
      <c r="N178" s="2">
        <f>I178/H178</f>
        <v/>
      </c>
      <c r="O178" s="2">
        <f>J178/H178</f>
        <v/>
      </c>
      <c r="P178">
        <f>H178-G178</f>
        <v/>
      </c>
      <c r="Q178">
        <f>IF(N178&gt;0.04,"High",IF(N178&gt;0.03,"Medium","Low"))</f>
        <v/>
      </c>
    </row>
    <row r="179">
      <c r="A179" t="inlineStr">
        <is>
          <t>NM-12-12</t>
        </is>
      </c>
      <c r="B179" t="inlineStr">
        <is>
          <t>2026-09-21</t>
        </is>
      </c>
      <c r="C179" t="inlineStr">
        <is>
          <t>North Assembly</t>
        </is>
      </c>
      <c r="D179" t="inlineStr">
        <is>
          <t>Battery Controller</t>
        </is>
      </c>
      <c r="E179" t="inlineStr">
        <is>
          <t>Night</t>
        </is>
      </c>
      <c r="F179" t="inlineStr">
        <is>
          <t>Pioneer Circuit Works</t>
        </is>
      </c>
      <c r="G179" t="n">
        <v>907</v>
      </c>
      <c r="H179" t="n">
        <v>882</v>
      </c>
      <c r="I179" t="n">
        <v>15</v>
      </c>
      <c r="J179" t="n">
        <v>822</v>
      </c>
      <c r="K179" t="n">
        <v>52</v>
      </c>
      <c r="L179" t="inlineStr">
        <is>
          <t>No</t>
        </is>
      </c>
      <c r="M179" t="inlineStr">
        <is>
          <t>Normal variation</t>
        </is>
      </c>
      <c r="N179" s="2">
        <f>I179/H179</f>
        <v/>
      </c>
      <c r="O179" s="2">
        <f>J179/H179</f>
        <v/>
      </c>
      <c r="P179">
        <f>H179-G179</f>
        <v/>
      </c>
      <c r="Q179">
        <f>IF(N179&gt;0.04,"High",IF(N179&gt;0.03,"Medium","Low"))</f>
        <v/>
      </c>
    </row>
    <row r="180">
      <c r="A180" t="inlineStr">
        <is>
          <t>NM-12-13</t>
        </is>
      </c>
      <c r="B180" t="inlineStr">
        <is>
          <t>2026-09-21</t>
        </is>
      </c>
      <c r="C180" t="inlineStr">
        <is>
          <t>North Assembly</t>
        </is>
      </c>
      <c r="D180" t="inlineStr">
        <is>
          <t>Infotainment Harness</t>
        </is>
      </c>
      <c r="E180" t="inlineStr">
        <is>
          <t>Swing</t>
        </is>
      </c>
      <c r="F180" t="inlineStr">
        <is>
          <t>Summit Plastics</t>
        </is>
      </c>
      <c r="G180" t="n">
        <v>983</v>
      </c>
      <c r="H180" t="n">
        <v>936</v>
      </c>
      <c r="I180" t="n">
        <v>16</v>
      </c>
      <c r="J180" t="n">
        <v>915</v>
      </c>
      <c r="K180" t="n">
        <v>61.4</v>
      </c>
      <c r="L180" t="inlineStr">
        <is>
          <t>No</t>
        </is>
      </c>
      <c r="M180" t="inlineStr">
        <is>
          <t>Normal variation</t>
        </is>
      </c>
      <c r="N180" s="2">
        <f>I180/H180</f>
        <v/>
      </c>
      <c r="O180" s="2">
        <f>J180/H180</f>
        <v/>
      </c>
      <c r="P180">
        <f>H180-G180</f>
        <v/>
      </c>
      <c r="Q180">
        <f>IF(N180&gt;0.04,"High",IF(N180&gt;0.03,"Medium","Low"))</f>
        <v/>
      </c>
    </row>
    <row r="181">
      <c r="A181" t="inlineStr">
        <is>
          <t>NM-12-14</t>
        </is>
      </c>
      <c r="B181" t="inlineStr">
        <is>
          <t>2026-09-21</t>
        </is>
      </c>
      <c r="C181" t="inlineStr">
        <is>
          <t>North Assembly</t>
        </is>
      </c>
      <c r="D181" t="inlineStr">
        <is>
          <t>Drive Unit Housing</t>
        </is>
      </c>
      <c r="E181" t="inlineStr">
        <is>
          <t>Day</t>
        </is>
      </c>
      <c r="F181" t="inlineStr">
        <is>
          <t>Vector Embedded</t>
        </is>
      </c>
      <c r="G181" t="n">
        <v>968</v>
      </c>
      <c r="H181" t="n">
        <v>893</v>
      </c>
      <c r="I181" t="n">
        <v>29</v>
      </c>
      <c r="J181" t="n">
        <v>853</v>
      </c>
      <c r="K181" t="n">
        <v>58.5</v>
      </c>
      <c r="L181" t="inlineStr">
        <is>
          <t>No</t>
        </is>
      </c>
      <c r="M181" t="inlineStr">
        <is>
          <t>Normal variation</t>
        </is>
      </c>
      <c r="N181" s="2">
        <f>I181/H181</f>
        <v/>
      </c>
      <c r="O181" s="2">
        <f>J181/H181</f>
        <v/>
      </c>
      <c r="P181">
        <f>H181-G181</f>
        <v/>
      </c>
      <c r="Q181">
        <f>IF(N181&gt;0.04,"High",IF(N181&gt;0.03,"Medium","Low"))</f>
        <v/>
      </c>
    </row>
    <row r="182">
      <c r="A182" t="inlineStr">
        <is>
          <t>NM-12-21</t>
        </is>
      </c>
      <c r="B182" t="inlineStr">
        <is>
          <t>2026-09-21</t>
        </is>
      </c>
      <c r="C182" t="inlineStr">
        <is>
          <t>River Rouge Pilot</t>
        </is>
      </c>
      <c r="D182" t="inlineStr">
        <is>
          <t>Sensor Module</t>
        </is>
      </c>
      <c r="E182" t="inlineStr">
        <is>
          <t>Swing</t>
        </is>
      </c>
      <c r="F182" t="inlineStr">
        <is>
          <t>Cedar Forge</t>
        </is>
      </c>
      <c r="G182" t="n">
        <v>847</v>
      </c>
      <c r="H182" t="n">
        <v>819</v>
      </c>
      <c r="I182" t="n">
        <v>17</v>
      </c>
      <c r="J182" t="n">
        <v>760</v>
      </c>
      <c r="K182" t="n">
        <v>36</v>
      </c>
      <c r="L182" t="inlineStr">
        <is>
          <t>No</t>
        </is>
      </c>
      <c r="M182" t="inlineStr">
        <is>
          <t>Normal variation</t>
        </is>
      </c>
      <c r="N182" s="2">
        <f>I182/H182</f>
        <v/>
      </c>
      <c r="O182" s="2">
        <f>J182/H182</f>
        <v/>
      </c>
      <c r="P182">
        <f>H182-G182</f>
        <v/>
      </c>
      <c r="Q182">
        <f>IF(N182&gt;0.04,"High",IF(N182&gt;0.03,"Medium","Low"))</f>
        <v/>
      </c>
    </row>
    <row r="183">
      <c r="A183" t="inlineStr">
        <is>
          <t>NM-12-22</t>
        </is>
      </c>
      <c r="B183" t="inlineStr">
        <is>
          <t>2026-09-21</t>
        </is>
      </c>
      <c r="C183" t="inlineStr">
        <is>
          <t>River Rouge Pilot</t>
        </is>
      </c>
      <c r="D183" t="inlineStr">
        <is>
          <t>Battery Controller</t>
        </is>
      </c>
      <c r="E183" t="inlineStr">
        <is>
          <t>Swing</t>
        </is>
      </c>
      <c r="F183" t="inlineStr">
        <is>
          <t>Vector Embedded</t>
        </is>
      </c>
      <c r="G183" t="n">
        <v>1092</v>
      </c>
      <c r="H183" t="n">
        <v>1047</v>
      </c>
      <c r="I183" t="n">
        <v>35</v>
      </c>
      <c r="J183" t="n">
        <v>934</v>
      </c>
      <c r="K183" t="n">
        <v>38.4</v>
      </c>
      <c r="L183" t="inlineStr">
        <is>
          <t>No</t>
        </is>
      </c>
      <c r="M183" t="inlineStr">
        <is>
          <t>Normal variation</t>
        </is>
      </c>
      <c r="N183" s="2">
        <f>I183/H183</f>
        <v/>
      </c>
      <c r="O183" s="2">
        <f>J183/H183</f>
        <v/>
      </c>
      <c r="P183">
        <f>H183-G183</f>
        <v/>
      </c>
      <c r="Q183">
        <f>IF(N183&gt;0.04,"High",IF(N183&gt;0.03,"Medium","Low"))</f>
        <v/>
      </c>
    </row>
    <row r="184">
      <c r="A184" t="inlineStr">
        <is>
          <t>NM-12-23</t>
        </is>
      </c>
      <c r="B184" t="inlineStr">
        <is>
          <t>2026-09-21</t>
        </is>
      </c>
      <c r="C184" t="inlineStr">
        <is>
          <t>River Rouge Pilot</t>
        </is>
      </c>
      <c r="D184" t="inlineStr">
        <is>
          <t>Infotainment Harness</t>
        </is>
      </c>
      <c r="E184" t="inlineStr">
        <is>
          <t>Night</t>
        </is>
      </c>
      <c r="F184" t="inlineStr">
        <is>
          <t>Cedar Forge</t>
        </is>
      </c>
      <c r="G184" t="n">
        <v>1049</v>
      </c>
      <c r="H184" t="n">
        <v>1035</v>
      </c>
      <c r="I184" t="n">
        <v>36</v>
      </c>
      <c r="J184" t="n">
        <v>919</v>
      </c>
      <c r="K184" t="n">
        <v>59.1</v>
      </c>
      <c r="L184" t="inlineStr">
        <is>
          <t>No</t>
        </is>
      </c>
      <c r="M184" t="inlineStr">
        <is>
          <t>Normal variation</t>
        </is>
      </c>
      <c r="N184" s="2">
        <f>I184/H184</f>
        <v/>
      </c>
      <c r="O184" s="2">
        <f>J184/H184</f>
        <v/>
      </c>
      <c r="P184">
        <f>H184-G184</f>
        <v/>
      </c>
      <c r="Q184">
        <f>IF(N184&gt;0.04,"High",IF(N184&gt;0.03,"Medium","Low"))</f>
        <v/>
      </c>
    </row>
    <row r="185">
      <c r="A185" t="inlineStr">
        <is>
          <t>NM-12-24</t>
        </is>
      </c>
      <c r="B185" t="inlineStr">
        <is>
          <t>2026-09-21</t>
        </is>
      </c>
      <c r="C185" t="inlineStr">
        <is>
          <t>River Rouge Pilot</t>
        </is>
      </c>
      <c r="D185" t="inlineStr">
        <is>
          <t>Drive Unit Housing</t>
        </is>
      </c>
      <c r="E185" t="inlineStr">
        <is>
          <t>Day</t>
        </is>
      </c>
      <c r="F185" t="inlineStr">
        <is>
          <t>Blue Harbor Components</t>
        </is>
      </c>
      <c r="G185" t="n">
        <v>1043</v>
      </c>
      <c r="H185" t="n">
        <v>942</v>
      </c>
      <c r="I185" t="n">
        <v>17</v>
      </c>
      <c r="J185" t="n">
        <v>925</v>
      </c>
      <c r="K185" t="n">
        <v>32.5</v>
      </c>
      <c r="L185" t="inlineStr">
        <is>
          <t>No</t>
        </is>
      </c>
      <c r="M185" t="inlineStr">
        <is>
          <t>Normal variation</t>
        </is>
      </c>
      <c r="N185" s="2">
        <f>I185/H185</f>
        <v/>
      </c>
      <c r="O185" s="2">
        <f>J185/H185</f>
        <v/>
      </c>
      <c r="P185">
        <f>H185-G185</f>
        <v/>
      </c>
      <c r="Q185">
        <f>IF(N185&gt;0.04,"High",IF(N185&gt;0.03,"Medium","Low"))</f>
        <v/>
      </c>
    </row>
    <row r="186">
      <c r="A186" t="inlineStr">
        <is>
          <t>NM-12-31</t>
        </is>
      </c>
      <c r="B186" t="inlineStr">
        <is>
          <t>2026-09-21</t>
        </is>
      </c>
      <c r="C186" t="inlineStr">
        <is>
          <t>Lakeside Components</t>
        </is>
      </c>
      <c r="D186" t="inlineStr">
        <is>
          <t>Sensor Module</t>
        </is>
      </c>
      <c r="E186" t="inlineStr">
        <is>
          <t>Day</t>
        </is>
      </c>
      <c r="F186" t="inlineStr">
        <is>
          <t>Cedar Forge</t>
        </is>
      </c>
      <c r="G186" t="n">
        <v>985</v>
      </c>
      <c r="H186" t="n">
        <v>934</v>
      </c>
      <c r="I186" t="n">
        <v>22</v>
      </c>
      <c r="J186" t="n">
        <v>861</v>
      </c>
      <c r="K186" t="n">
        <v>48.5</v>
      </c>
      <c r="L186" t="inlineStr">
        <is>
          <t>No</t>
        </is>
      </c>
      <c r="M186" t="inlineStr">
        <is>
          <t>Normal variation</t>
        </is>
      </c>
      <c r="N186" s="2">
        <f>I186/H186</f>
        <v/>
      </c>
      <c r="O186" s="2">
        <f>J186/H186</f>
        <v/>
      </c>
      <c r="P186">
        <f>H186-G186</f>
        <v/>
      </c>
      <c r="Q186">
        <f>IF(N186&gt;0.04,"High",IF(N186&gt;0.03,"Medium","Low"))</f>
        <v/>
      </c>
    </row>
    <row r="187">
      <c r="A187" t="inlineStr">
        <is>
          <t>NM-12-32</t>
        </is>
      </c>
      <c r="B187" t="inlineStr">
        <is>
          <t>2026-09-21</t>
        </is>
      </c>
      <c r="C187" t="inlineStr">
        <is>
          <t>Lakeside Components</t>
        </is>
      </c>
      <c r="D187" t="inlineStr">
        <is>
          <t>Battery Controller</t>
        </is>
      </c>
      <c r="E187" t="inlineStr">
        <is>
          <t>Day</t>
        </is>
      </c>
      <c r="F187" t="inlineStr">
        <is>
          <t>Summit Plastics</t>
        </is>
      </c>
      <c r="G187" t="n">
        <v>1216</v>
      </c>
      <c r="H187" t="n">
        <v>1002</v>
      </c>
      <c r="I187" t="n">
        <v>23</v>
      </c>
      <c r="J187" t="n">
        <v>882</v>
      </c>
      <c r="K187" t="n">
        <v>51.5</v>
      </c>
      <c r="L187" t="inlineStr">
        <is>
          <t>No</t>
        </is>
      </c>
      <c r="M187" t="inlineStr">
        <is>
          <t>Normal variation</t>
        </is>
      </c>
      <c r="N187" s="2">
        <f>I187/H187</f>
        <v/>
      </c>
      <c r="O187" s="2">
        <f>J187/H187</f>
        <v/>
      </c>
      <c r="P187">
        <f>H187-G187</f>
        <v/>
      </c>
      <c r="Q187">
        <f>IF(N187&gt;0.04,"High",IF(N187&gt;0.03,"Medium","Low"))</f>
        <v/>
      </c>
    </row>
    <row r="188">
      <c r="A188" t="inlineStr">
        <is>
          <t>NM-12-33</t>
        </is>
      </c>
      <c r="B188" t="inlineStr">
        <is>
          <t>2026-09-21</t>
        </is>
      </c>
      <c r="C188" t="inlineStr">
        <is>
          <t>Lakeside Components</t>
        </is>
      </c>
      <c r="D188" t="inlineStr">
        <is>
          <t>Infotainment Harness</t>
        </is>
      </c>
      <c r="E188" t="inlineStr">
        <is>
          <t>Day</t>
        </is>
      </c>
      <c r="F188" t="inlineStr">
        <is>
          <t>Pioneer Circuit Works</t>
        </is>
      </c>
      <c r="G188" t="n">
        <v>870</v>
      </c>
      <c r="H188" t="n">
        <v>815</v>
      </c>
      <c r="I188" t="n">
        <v>11</v>
      </c>
      <c r="J188" t="n">
        <v>724</v>
      </c>
      <c r="K188" t="n">
        <v>57.6</v>
      </c>
      <c r="L188" t="inlineStr">
        <is>
          <t>No</t>
        </is>
      </c>
      <c r="M188" t="inlineStr">
        <is>
          <t>Normal variation</t>
        </is>
      </c>
      <c r="N188" s="2">
        <f>I188/H188</f>
        <v/>
      </c>
      <c r="O188" s="2">
        <f>J188/H188</f>
        <v/>
      </c>
      <c r="P188">
        <f>H188-G188</f>
        <v/>
      </c>
      <c r="Q188">
        <f>IF(N188&gt;0.04,"High",IF(N188&gt;0.03,"Medium","Low"))</f>
        <v/>
      </c>
    </row>
    <row r="189">
      <c r="A189" t="inlineStr">
        <is>
          <t>NM-12-34</t>
        </is>
      </c>
      <c r="B189" t="inlineStr">
        <is>
          <t>2026-09-21</t>
        </is>
      </c>
      <c r="C189" t="inlineStr">
        <is>
          <t>Lakeside Components</t>
        </is>
      </c>
      <c r="D189" t="inlineStr">
        <is>
          <t>Drive Unit Housing</t>
        </is>
      </c>
      <c r="E189" t="inlineStr">
        <is>
          <t>Night</t>
        </is>
      </c>
      <c r="F189" t="inlineStr">
        <is>
          <t>Summit Plastics</t>
        </is>
      </c>
      <c r="G189" t="n">
        <v>1199</v>
      </c>
      <c r="H189" t="n">
        <v>1122</v>
      </c>
      <c r="I189" t="n">
        <v>41</v>
      </c>
      <c r="J189" t="n">
        <v>1054</v>
      </c>
      <c r="K189" t="n">
        <v>29.2</v>
      </c>
      <c r="L189" t="inlineStr">
        <is>
          <t>No</t>
        </is>
      </c>
      <c r="M189" t="inlineStr">
        <is>
          <t>Normal variation</t>
        </is>
      </c>
      <c r="N189" s="2">
        <f>I189/H189</f>
        <v/>
      </c>
      <c r="O189" s="2">
        <f>J189/H189</f>
        <v/>
      </c>
      <c r="P189">
        <f>H189-G189</f>
        <v/>
      </c>
      <c r="Q189">
        <f>IF(N189&gt;0.04,"High",IF(N189&gt;0.03,"Medium","Low"))</f>
        <v/>
      </c>
    </row>
    <row r="190">
      <c r="A190" t="inlineStr">
        <is>
          <t>NM-12-41</t>
        </is>
      </c>
      <c r="B190" t="inlineStr">
        <is>
          <t>2026-09-21</t>
        </is>
      </c>
      <c r="C190" t="inlineStr">
        <is>
          <t>Metro EV Systems</t>
        </is>
      </c>
      <c r="D190" t="inlineStr">
        <is>
          <t>Sensor Module</t>
        </is>
      </c>
      <c r="E190" t="inlineStr">
        <is>
          <t>Swing</t>
        </is>
      </c>
      <c r="F190" t="inlineStr">
        <is>
          <t>Pioneer Circuit Works</t>
        </is>
      </c>
      <c r="G190" t="n">
        <v>827</v>
      </c>
      <c r="H190" t="n">
        <v>756</v>
      </c>
      <c r="I190" t="n">
        <v>25</v>
      </c>
      <c r="J190" t="n">
        <v>686</v>
      </c>
      <c r="K190" t="n">
        <v>29.3</v>
      </c>
      <c r="L190" t="inlineStr">
        <is>
          <t>No</t>
        </is>
      </c>
      <c r="M190" t="inlineStr">
        <is>
          <t>Normal variation</t>
        </is>
      </c>
      <c r="N190" s="2">
        <f>I190/H190</f>
        <v/>
      </c>
      <c r="O190" s="2">
        <f>J190/H190</f>
        <v/>
      </c>
      <c r="P190">
        <f>H190-G190</f>
        <v/>
      </c>
      <c r="Q190">
        <f>IF(N190&gt;0.04,"High",IF(N190&gt;0.03,"Medium","Low"))</f>
        <v/>
      </c>
    </row>
    <row r="191">
      <c r="A191" t="inlineStr">
        <is>
          <t>NM-12-42</t>
        </is>
      </c>
      <c r="B191" t="inlineStr">
        <is>
          <t>2026-09-21</t>
        </is>
      </c>
      <c r="C191" t="inlineStr">
        <is>
          <t>Metro EV Systems</t>
        </is>
      </c>
      <c r="D191" t="inlineStr">
        <is>
          <t>Battery Controller</t>
        </is>
      </c>
      <c r="E191" t="inlineStr">
        <is>
          <t>Swing</t>
        </is>
      </c>
      <c r="F191" t="inlineStr">
        <is>
          <t>Summit Plastics</t>
        </is>
      </c>
      <c r="G191" t="n">
        <v>831</v>
      </c>
      <c r="H191" t="n">
        <v>835</v>
      </c>
      <c r="I191" t="n">
        <v>19</v>
      </c>
      <c r="J191" t="n">
        <v>765</v>
      </c>
      <c r="K191" t="n">
        <v>57.4</v>
      </c>
      <c r="L191" t="inlineStr">
        <is>
          <t>No</t>
        </is>
      </c>
      <c r="M191" t="inlineStr">
        <is>
          <t>Normal variation</t>
        </is>
      </c>
      <c r="N191" s="2">
        <f>I191/H191</f>
        <v/>
      </c>
      <c r="O191" s="2">
        <f>J191/H191</f>
        <v/>
      </c>
      <c r="P191">
        <f>H191-G191</f>
        <v/>
      </c>
      <c r="Q191">
        <f>IF(N191&gt;0.04,"High",IF(N191&gt;0.03,"Medium","Low"))</f>
        <v/>
      </c>
    </row>
    <row r="192">
      <c r="A192" t="inlineStr">
        <is>
          <t>NM-12-43</t>
        </is>
      </c>
      <c r="B192" t="inlineStr">
        <is>
          <t>2026-09-21</t>
        </is>
      </c>
      <c r="C192" t="inlineStr">
        <is>
          <t>Metro EV Systems</t>
        </is>
      </c>
      <c r="D192" t="inlineStr">
        <is>
          <t>Infotainment Harness</t>
        </is>
      </c>
      <c r="E192" t="inlineStr">
        <is>
          <t>Day</t>
        </is>
      </c>
      <c r="F192" t="inlineStr">
        <is>
          <t>Summit Plastics</t>
        </is>
      </c>
      <c r="G192" t="n">
        <v>977</v>
      </c>
      <c r="H192" t="n">
        <v>921</v>
      </c>
      <c r="I192" t="n">
        <v>29</v>
      </c>
      <c r="J192" t="n">
        <v>896</v>
      </c>
      <c r="K192" t="n">
        <v>58.5</v>
      </c>
      <c r="L192" t="inlineStr">
        <is>
          <t>No</t>
        </is>
      </c>
      <c r="M192" t="inlineStr">
        <is>
          <t>Normal variation</t>
        </is>
      </c>
      <c r="N192" s="2">
        <f>I192/H192</f>
        <v/>
      </c>
      <c r="O192" s="2">
        <f>J192/H192</f>
        <v/>
      </c>
      <c r="P192">
        <f>H192-G192</f>
        <v/>
      </c>
      <c r="Q192">
        <f>IF(N192&gt;0.04,"High",IF(N192&gt;0.03,"Medium","Low"))</f>
        <v/>
      </c>
    </row>
    <row r="193">
      <c r="A193" t="inlineStr">
        <is>
          <t>NM-12-44</t>
        </is>
      </c>
      <c r="B193" t="inlineStr">
        <is>
          <t>2026-09-21</t>
        </is>
      </c>
      <c r="C193" t="inlineStr">
        <is>
          <t>Metro EV Systems</t>
        </is>
      </c>
      <c r="D193" t="inlineStr">
        <is>
          <t>Drive Unit Housing</t>
        </is>
      </c>
      <c r="E193" t="inlineStr">
        <is>
          <t>Day</t>
        </is>
      </c>
      <c r="F193" t="inlineStr">
        <is>
          <t>Vector Embedded</t>
        </is>
      </c>
      <c r="G193" t="n">
        <v>830</v>
      </c>
      <c r="H193" t="n">
        <v>859</v>
      </c>
      <c r="I193" t="n">
        <v>18</v>
      </c>
      <c r="J193" t="n">
        <v>781</v>
      </c>
      <c r="K193" t="n">
        <v>28.7</v>
      </c>
      <c r="L193" t="inlineStr">
        <is>
          <t>No</t>
        </is>
      </c>
      <c r="M193" t="inlineStr">
        <is>
          <t>Normal variation</t>
        </is>
      </c>
      <c r="N193" s="2">
        <f>I193/H193</f>
        <v/>
      </c>
      <c r="O193" s="2">
        <f>J193/H193</f>
        <v/>
      </c>
      <c r="P193">
        <f>H193-G193</f>
        <v/>
      </c>
      <c r="Q193">
        <f>IF(N193&gt;0.04,"High",IF(N193&gt;0.03,"Medium","Low"))</f>
        <v/>
      </c>
    </row>
  </sheetData>
  <conditionalFormatting sqref="N2:N193">
    <cfRule type="cellIs" priority="1" operator="greaterThan" dxfId="0">
      <formula>0.035</formula>
    </cfRule>
  </conditionalFormatting>
  <conditionalFormatting sqref="O2:O193">
    <cfRule type="cellIs" priority="2" operator="lessThan" dxfId="1">
      <formula>0.92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Plant</t>
        </is>
      </c>
      <c r="B2" t="inlineStr">
        <is>
          <t>North Assembly</t>
        </is>
      </c>
      <c r="C2" t="inlineStr">
        <is>
          <t>Fictional manufacturing location</t>
        </is>
      </c>
    </row>
    <row r="3">
      <c r="A3" t="inlineStr">
        <is>
          <t>Plant</t>
        </is>
      </c>
      <c r="B3" t="inlineStr">
        <is>
          <t>River Rouge Pilot</t>
        </is>
      </c>
      <c r="C3" t="inlineStr">
        <is>
          <t>Fictional manufacturing location</t>
        </is>
      </c>
    </row>
    <row r="4">
      <c r="A4" t="inlineStr">
        <is>
          <t>Plant</t>
        </is>
      </c>
      <c r="B4" t="inlineStr">
        <is>
          <t>Lakeside Components</t>
        </is>
      </c>
      <c r="C4" t="inlineStr">
        <is>
          <t>Fictional manufacturing location</t>
        </is>
      </c>
    </row>
    <row r="5">
      <c r="A5" t="inlineStr">
        <is>
          <t>Plant</t>
        </is>
      </c>
      <c r="B5" t="inlineStr">
        <is>
          <t>Metro EV Systems</t>
        </is>
      </c>
      <c r="C5" t="inlineStr">
        <is>
          <t>Fictional manufacturing location</t>
        </is>
      </c>
    </row>
    <row r="6">
      <c r="A6" t="inlineStr">
        <is>
          <t>Product Family</t>
        </is>
      </c>
      <c r="B6" t="inlineStr">
        <is>
          <t>Sensor Module</t>
        </is>
      </c>
      <c r="C6" t="inlineStr">
        <is>
          <t>Torque sensor calibration</t>
        </is>
      </c>
    </row>
    <row r="7">
      <c r="A7" t="inlineStr">
        <is>
          <t>Product Family</t>
        </is>
      </c>
      <c r="B7" t="inlineStr">
        <is>
          <t>Battery Controller</t>
        </is>
      </c>
      <c r="C7" t="inlineStr">
        <is>
          <t>Thermal interface pad</t>
        </is>
      </c>
    </row>
    <row r="8">
      <c r="A8" t="inlineStr">
        <is>
          <t>Product Family</t>
        </is>
      </c>
      <c r="B8" t="inlineStr">
        <is>
          <t>Infotainment Harness</t>
        </is>
      </c>
      <c r="C8" t="inlineStr">
        <is>
          <t>Connector pin seating</t>
        </is>
      </c>
    </row>
    <row r="9">
      <c r="A9" t="inlineStr">
        <is>
          <t>Product Family</t>
        </is>
      </c>
      <c r="B9" t="inlineStr">
        <is>
          <t>Drive Unit Housing</t>
        </is>
      </c>
      <c r="C9" t="inlineStr">
        <is>
          <t>Casting surface finish</t>
        </is>
      </c>
    </row>
    <row r="10">
      <c r="A10" t="inlineStr">
        <is>
          <t>Shift</t>
        </is>
      </c>
      <c r="B10" t="inlineStr">
        <is>
          <t>Day</t>
        </is>
      </c>
      <c r="C10" t="inlineStr">
        <is>
          <t>Production shift</t>
        </is>
      </c>
    </row>
    <row r="11">
      <c r="A11" t="inlineStr">
        <is>
          <t>Shift</t>
        </is>
      </c>
      <c r="B11" t="inlineStr">
        <is>
          <t>Swing</t>
        </is>
      </c>
      <c r="C11" t="inlineStr">
        <is>
          <t>Production shift</t>
        </is>
      </c>
    </row>
    <row r="12">
      <c r="A12" t="inlineStr">
        <is>
          <t>Shift</t>
        </is>
      </c>
      <c r="B12" t="inlineStr">
        <is>
          <t>Night</t>
        </is>
      </c>
      <c r="C12" t="inlineStr">
        <is>
          <t>Production shift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36" customWidth="1" min="4" max="4"/>
  </cols>
  <sheetData>
    <row r="1">
      <c r="A1" s="1" t="inlineStr">
        <is>
          <t>Product Family</t>
        </is>
      </c>
      <c r="B1" s="1" t="inlineStr">
        <is>
          <t>Primary Risk</t>
        </is>
      </c>
      <c r="C1" s="1" t="inlineStr">
        <is>
          <t>Risk Level</t>
        </is>
      </c>
      <c r="D1" s="1" t="inlineStr">
        <is>
          <t>Recommended Follow-up</t>
        </is>
      </c>
    </row>
    <row r="2">
      <c r="A2" t="inlineStr">
        <is>
          <t>Sensor Module</t>
        </is>
      </c>
      <c r="B2" t="inlineStr">
        <is>
          <t>Torque sensor calibration</t>
        </is>
      </c>
      <c r="C2" t="inlineStr">
        <is>
          <t>Medium</t>
        </is>
      </c>
      <c r="D2" t="inlineStr">
        <is>
          <t>Review torque sensor calibration trend and supplier handoff notes</t>
        </is>
      </c>
    </row>
    <row r="3">
      <c r="A3" t="inlineStr">
        <is>
          <t>Battery Controller</t>
        </is>
      </c>
      <c r="B3" t="inlineStr">
        <is>
          <t>Thermal interface pad</t>
        </is>
      </c>
      <c r="C3" t="inlineStr">
        <is>
          <t>High</t>
        </is>
      </c>
      <c r="D3" t="inlineStr">
        <is>
          <t>Review thermal interface pad trend and supplier handoff notes</t>
        </is>
      </c>
    </row>
    <row r="4">
      <c r="A4" t="inlineStr">
        <is>
          <t>Infotainment Harness</t>
        </is>
      </c>
      <c r="B4" t="inlineStr">
        <is>
          <t>Connector pin seating</t>
        </is>
      </c>
      <c r="C4" t="inlineStr">
        <is>
          <t>Medium</t>
        </is>
      </c>
      <c r="D4" t="inlineStr">
        <is>
          <t>Review connector pin seating trend and supplier handoff notes</t>
        </is>
      </c>
    </row>
    <row r="5">
      <c r="A5" t="inlineStr">
        <is>
          <t>Drive Unit Housing</t>
        </is>
      </c>
      <c r="B5" t="inlineStr">
        <is>
          <t>Casting surface finish</t>
        </is>
      </c>
      <c r="C5" t="inlineStr">
        <is>
          <t>Low</t>
        </is>
      </c>
      <c r="D5" t="inlineStr">
        <is>
          <t>Review casting surface finish trend and supplier handoff 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  <col width="13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</row>
    <row r="2">
      <c r="A2" t="inlineStr">
        <is>
          <t>Total Units Produced</t>
        </is>
      </c>
      <c r="B2">
        <f>SUM('Operations Data'!H:H)</f>
        <v/>
      </c>
    </row>
    <row r="3">
      <c r="A3" t="inlineStr">
        <is>
          <t>Total Defects</t>
        </is>
      </c>
      <c r="B3">
        <f>SUM('Operations Data'!I:I)</f>
        <v/>
      </c>
    </row>
    <row r="4">
      <c r="A4" t="inlineStr">
        <is>
          <t>Overall Defect Rate</t>
        </is>
      </c>
      <c r="B4" s="2">
        <f>B3/B2</f>
        <v/>
      </c>
    </row>
    <row r="5">
      <c r="A5" t="inlineStr">
        <is>
          <t>Overall On-Time %</t>
        </is>
      </c>
      <c r="B5" s="2">
        <f>SUM('Operations Data'!J:J)/SUM('Operations Data'!H:H)</f>
        <v/>
      </c>
    </row>
    <row r="6">
      <c r="A6" t="inlineStr">
        <is>
          <t>High Risk Records</t>
        </is>
      </c>
      <c r="B6">
        <f>COUNTIF('Operations Data'!Q:Q,"High")</f>
        <v/>
      </c>
    </row>
    <row r="7">
      <c r="A7" t="inlineStr">
        <is>
          <t>Missing Calibration Records</t>
        </is>
      </c>
      <c r="B7">
        <f>COUNTIF('Operations Data'!L:L,"Yes")</f>
        <v/>
      </c>
    </row>
    <row r="8"/>
    <row r="9">
      <c r="A9" s="1" t="inlineStr">
        <is>
          <t>Plant</t>
        </is>
      </c>
      <c r="B9" s="1" t="inlineStr">
        <is>
          <t>Produced</t>
        </is>
      </c>
      <c r="C9" s="1" t="inlineStr">
        <is>
          <t>Defects</t>
        </is>
      </c>
      <c r="D9" s="1" t="inlineStr">
        <is>
          <t>Defect Rate</t>
        </is>
      </c>
    </row>
    <row r="10">
      <c r="A10" t="inlineStr">
        <is>
          <t>North Assembly</t>
        </is>
      </c>
      <c r="B10">
        <f>SUMIF('Operations Data'!C:C,A10,'Operations Data'!H:H)</f>
        <v/>
      </c>
      <c r="C10">
        <f>SUMIF('Operations Data'!C:C,A10,'Operations Data'!I:I)</f>
        <v/>
      </c>
      <c r="D10" s="2">
        <f>C10/B10</f>
        <v/>
      </c>
    </row>
    <row r="11">
      <c r="A11" t="inlineStr">
        <is>
          <t>River Rouge Pilot</t>
        </is>
      </c>
      <c r="B11">
        <f>SUMIF('Operations Data'!C:C,A11,'Operations Data'!H:H)</f>
        <v/>
      </c>
      <c r="C11">
        <f>SUMIF('Operations Data'!C:C,A11,'Operations Data'!I:I)</f>
        <v/>
      </c>
      <c r="D11" s="2">
        <f>C11/B11</f>
        <v/>
      </c>
    </row>
    <row r="12">
      <c r="A12" t="inlineStr">
        <is>
          <t>Lakeside Components</t>
        </is>
      </c>
      <c r="B12">
        <f>SUMIF('Operations Data'!C:C,A12,'Operations Data'!H:H)</f>
        <v/>
      </c>
      <c r="C12">
        <f>SUMIF('Operations Data'!C:C,A12,'Operations Data'!I:I)</f>
        <v/>
      </c>
      <c r="D12" s="2">
        <f>C12/B12</f>
        <v/>
      </c>
    </row>
    <row r="13">
      <c r="A13" t="inlineStr">
        <is>
          <t>Metro EV Systems</t>
        </is>
      </c>
      <c r="B13">
        <f>SUMIF('Operations Data'!C:C,A13,'Operations Data'!H:H)</f>
        <v/>
      </c>
      <c r="C13">
        <f>SUMIF('Operations Data'!C:C,A13,'Operations Data'!I:I)</f>
        <v/>
      </c>
      <c r="D13" s="2">
        <f>C13/B13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3" customWidth="1" min="4" max="4"/>
  </cols>
  <sheetData>
    <row r="1">
      <c r="A1" s="1" t="inlineStr">
        <is>
          <t>Week Start</t>
        </is>
      </c>
      <c r="B1" s="1" t="inlineStr">
        <is>
          <t>Produced</t>
        </is>
      </c>
      <c r="C1" s="1" t="inlineStr">
        <is>
          <t>Defects</t>
        </is>
      </c>
      <c r="D1" s="1" t="inlineStr">
        <is>
          <t>Defect Rate</t>
        </is>
      </c>
    </row>
    <row r="2">
      <c r="A2" t="inlineStr">
        <is>
          <t>2026-07-06</t>
        </is>
      </c>
      <c r="B2">
        <f>SUMIF('Operations Data'!B:B,A2,'Operations Data'!H:H)</f>
        <v/>
      </c>
      <c r="C2">
        <f>SUMIF('Operations Data'!B:B,A2,'Operations Data'!I:I)</f>
        <v/>
      </c>
      <c r="D2" s="2">
        <f>C2/B2</f>
        <v/>
      </c>
    </row>
    <row r="3">
      <c r="A3" t="inlineStr">
        <is>
          <t>2026-07-13</t>
        </is>
      </c>
      <c r="B3">
        <f>SUMIF('Operations Data'!B:B,A3,'Operations Data'!H:H)</f>
        <v/>
      </c>
      <c r="C3">
        <f>SUMIF('Operations Data'!B:B,A3,'Operations Data'!I:I)</f>
        <v/>
      </c>
      <c r="D3" s="2">
        <f>C3/B3</f>
        <v/>
      </c>
    </row>
    <row r="4">
      <c r="A4" t="inlineStr">
        <is>
          <t>2026-07-20</t>
        </is>
      </c>
      <c r="B4">
        <f>SUMIF('Operations Data'!B:B,A4,'Operations Data'!H:H)</f>
        <v/>
      </c>
      <c r="C4">
        <f>SUMIF('Operations Data'!B:B,A4,'Operations Data'!I:I)</f>
        <v/>
      </c>
      <c r="D4" s="2">
        <f>C4/B4</f>
        <v/>
      </c>
    </row>
    <row r="5">
      <c r="A5" t="inlineStr">
        <is>
          <t>2026-07-27</t>
        </is>
      </c>
      <c r="B5">
        <f>SUMIF('Operations Data'!B:B,A5,'Operations Data'!H:H)</f>
        <v/>
      </c>
      <c r="C5">
        <f>SUMIF('Operations Data'!B:B,A5,'Operations Data'!I:I)</f>
        <v/>
      </c>
      <c r="D5" s="2">
        <f>C5/B5</f>
        <v/>
      </c>
    </row>
    <row r="6">
      <c r="A6" t="inlineStr">
        <is>
          <t>2026-08-03</t>
        </is>
      </c>
      <c r="B6">
        <f>SUMIF('Operations Data'!B:B,A6,'Operations Data'!H:H)</f>
        <v/>
      </c>
      <c r="C6">
        <f>SUMIF('Operations Data'!B:B,A6,'Operations Data'!I:I)</f>
        <v/>
      </c>
      <c r="D6" s="2">
        <f>C6/B6</f>
        <v/>
      </c>
    </row>
    <row r="7">
      <c r="A7" t="inlineStr">
        <is>
          <t>2026-08-10</t>
        </is>
      </c>
      <c r="B7">
        <f>SUMIF('Operations Data'!B:B,A7,'Operations Data'!H:H)</f>
        <v/>
      </c>
      <c r="C7">
        <f>SUMIF('Operations Data'!B:B,A7,'Operations Data'!I:I)</f>
        <v/>
      </c>
      <c r="D7" s="2">
        <f>C7/B7</f>
        <v/>
      </c>
    </row>
    <row r="8">
      <c r="A8" t="inlineStr">
        <is>
          <t>2026-08-17</t>
        </is>
      </c>
      <c r="B8">
        <f>SUMIF('Operations Data'!B:B,A8,'Operations Data'!H:H)</f>
        <v/>
      </c>
      <c r="C8">
        <f>SUMIF('Operations Data'!B:B,A8,'Operations Data'!I:I)</f>
        <v/>
      </c>
      <c r="D8" s="2">
        <f>C8/B8</f>
        <v/>
      </c>
    </row>
    <row r="9">
      <c r="A9" t="inlineStr">
        <is>
          <t>2026-08-24</t>
        </is>
      </c>
      <c r="B9">
        <f>SUMIF('Operations Data'!B:B,A9,'Operations Data'!H:H)</f>
        <v/>
      </c>
      <c r="C9">
        <f>SUMIF('Operations Data'!B:B,A9,'Operations Data'!I:I)</f>
        <v/>
      </c>
      <c r="D9" s="2">
        <f>C9/B9</f>
        <v/>
      </c>
    </row>
    <row r="10">
      <c r="A10" t="inlineStr">
        <is>
          <t>2026-08-31</t>
        </is>
      </c>
      <c r="B10">
        <f>SUMIF('Operations Data'!B:B,A10,'Operations Data'!H:H)</f>
        <v/>
      </c>
      <c r="C10">
        <f>SUMIF('Operations Data'!B:B,A10,'Operations Data'!I:I)</f>
        <v/>
      </c>
      <c r="D10" s="2">
        <f>C10/B10</f>
        <v/>
      </c>
    </row>
    <row r="11">
      <c r="A11" t="inlineStr">
        <is>
          <t>2026-09-07</t>
        </is>
      </c>
      <c r="B11">
        <f>SUMIF('Operations Data'!B:B,A11,'Operations Data'!H:H)</f>
        <v/>
      </c>
      <c r="C11">
        <f>SUMIF('Operations Data'!B:B,A11,'Operations Data'!I:I)</f>
        <v/>
      </c>
      <c r="D11" s="2">
        <f>C11/B11</f>
        <v/>
      </c>
    </row>
    <row r="12">
      <c r="A12" t="inlineStr">
        <is>
          <t>2026-09-14</t>
        </is>
      </c>
      <c r="B12">
        <f>SUMIF('Operations Data'!B:B,A12,'Operations Data'!H:H)</f>
        <v/>
      </c>
      <c r="C12">
        <f>SUMIF('Operations Data'!B:B,A12,'Operations Data'!I:I)</f>
        <v/>
      </c>
      <c r="D12" s="2">
        <f>C12/B12</f>
        <v/>
      </c>
    </row>
    <row r="13">
      <c r="A13" t="inlineStr">
        <is>
          <t>2026-09-21</t>
        </is>
      </c>
      <c r="B13">
        <f>SUMIF('Operations Data'!B:B,A13,'Operations Data'!H:H)</f>
        <v/>
      </c>
      <c r="C13">
        <f>SUMIF('Operations Data'!B:B,A13,'Operations Data'!I:I)</f>
        <v/>
      </c>
      <c r="D13" s="2">
        <f>C13/B13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Use Case</t>
        </is>
      </c>
      <c r="B1" s="1" t="inlineStr">
        <is>
          <t>Prompt</t>
        </is>
      </c>
    </row>
    <row r="2">
      <c r="A2" t="inlineStr">
        <is>
          <t>Trend forecast</t>
        </is>
      </c>
      <c r="B2" t="inlineStr">
        <is>
          <t>Forecast the next four weeks of throughput by plant. Explain the pattern and confidence level.</t>
        </is>
      </c>
    </row>
    <row r="3">
      <c r="A3" t="inlineStr">
        <is>
          <t>Quality hotspot</t>
        </is>
      </c>
      <c r="B3" t="inlineStr">
        <is>
          <t>Identify plants and product families where defect rate is worsening. Recommend where to focus the next standup.</t>
        </is>
      </c>
    </row>
    <row r="4">
      <c r="A4" t="inlineStr">
        <is>
          <t>Data quality</t>
        </is>
      </c>
      <c r="B4" t="inlineStr">
        <is>
          <t>Find missing values, duplicates, and inconsistent product names. Return a cleanup plan.</t>
        </is>
      </c>
    </row>
    <row r="5">
      <c r="A5" t="inlineStr">
        <is>
          <t>Dashboard</t>
        </is>
      </c>
      <c r="B5" t="inlineStr">
        <is>
          <t>Create a management dashboard with throughput, defect rate, on-time delivery, and top risk drivers.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t="inlineStr">
        <is>
          <t>Classification</t>
        </is>
      </c>
      <c r="B1" t="inlineStr">
        <is>
          <t>Public</t>
        </is>
      </c>
    </row>
    <row r="2">
      <c r="A2" t="inlineStr">
        <is>
          <t>Disclaimer</t>
        </is>
      </c>
      <c r="B2" t="inlineStr">
        <is>
          <t>Fictional Microsoft Fake Company sample data for Microsoft 365 Copilot training. Do not add customer confidential information.</t>
        </is>
      </c>
    </row>
    <row r="3">
      <c r="A3" t="inlineStr">
        <is>
          <t>Local-file note</t>
        </is>
      </c>
      <c r="B3" t="inlineStr">
        <is>
          <t>Copilot in Excel can now work with supported local files in current tested experiences; confirm tenant/app behavior before delivery.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2026-09-28T23:49:34Z</dcterms:created>
  <dcterms:modified xmlns:dcterms="http://purl.org/dc/terms/" xmlns:xsi="http://www.w3.org/2001/XMLSchema-instance" xsi:type="dcterms:W3CDTF">2026-09-28T23:49:34Z</dcterms:modified>
</cp:coreProperties>
</file>